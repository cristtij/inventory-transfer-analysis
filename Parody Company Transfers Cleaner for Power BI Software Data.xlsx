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csupply-my.sharepoint.com/personal/cj210505_abcsupply_com/Documents/Documents/GitHub/"/>
    </mc:Choice>
  </mc:AlternateContent>
  <xr:revisionPtr revIDLastSave="0" documentId="8_{FAE83E73-1399-4D0F-BD2F-0F54A7651FC8}" xr6:coauthVersionLast="47" xr6:coauthVersionMax="47" xr10:uidLastSave="{00000000-0000-0000-0000-000000000000}"/>
  <bookViews>
    <workbookView xWindow="-120" yWindow="-120" windowWidth="38640" windowHeight="21120" xr2:uid="{4852F6E3-6B61-43CB-BD36-2CA284666399}"/>
  </bookViews>
  <sheets>
    <sheet name="All Branches Transfe Data 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8" i="1" l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4" i="1"/>
  <c r="H5" i="1"/>
  <c r="H6" i="1"/>
  <c r="H3" i="1"/>
  <c r="H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2" i="1"/>
</calcChain>
</file>

<file path=xl/sharedStrings.xml><?xml version="1.0" encoding="utf-8"?>
<sst xmlns="http://schemas.openxmlformats.org/spreadsheetml/2006/main" count="1219" uniqueCount="174">
  <si>
    <t>Source Branch</t>
  </si>
  <si>
    <t>Expect Date</t>
  </si>
  <si>
    <t>Tran #</t>
  </si>
  <si>
    <t>Customer PO</t>
  </si>
  <si>
    <t>Order Date</t>
  </si>
  <si>
    <t>Staging Status</t>
  </si>
  <si>
    <t>Qty</t>
  </si>
  <si>
    <t>Item Description</t>
  </si>
  <si>
    <t>Transfer Value</t>
  </si>
  <si>
    <t>Market Cost</t>
  </si>
  <si>
    <t>Average Cost</t>
  </si>
  <si>
    <t>SRC-901 Jacksonville FL</t>
  </si>
  <si>
    <t>Invoiced</t>
  </si>
  <si>
    <t>DES-103 Orlando FL</t>
  </si>
  <si>
    <t>DES-104 Tampa FL</t>
  </si>
  <si>
    <t>Ship-to Destination</t>
  </si>
  <si>
    <t>SKU</t>
  </si>
  <si>
    <t>DES-112 Tallahassee FL</t>
  </si>
  <si>
    <t>TR-5001</t>
  </si>
  <si>
    <t>PO-9101</t>
  </si>
  <si>
    <t>SKU-2001</t>
  </si>
  <si>
    <t>Architectural Shingles - Onyx</t>
  </si>
  <si>
    <t>SKU-2015</t>
  </si>
  <si>
    <t>Ridge Cap Shingles - Onyx</t>
  </si>
  <si>
    <t>SKU-2030</t>
  </si>
  <si>
    <t>Synthetic Underlayment Roll</t>
  </si>
  <si>
    <t>TR-5002</t>
  </si>
  <si>
    <t>PO-9102</t>
  </si>
  <si>
    <t>SKU-2005</t>
  </si>
  <si>
    <t>TPO Roofing Membrane 60mil</t>
  </si>
  <si>
    <t>TR-5003</t>
  </si>
  <si>
    <t>PO-9103</t>
  </si>
  <si>
    <t>SKU-2002</t>
  </si>
  <si>
    <t>Architectural Shingles - Weathered</t>
  </si>
  <si>
    <t>SKU-2016</t>
  </si>
  <si>
    <t>Ridge Cap Shingles - Weathered</t>
  </si>
  <si>
    <t>DES-113 Savannah GA</t>
  </si>
  <si>
    <t>TR-5004</t>
  </si>
  <si>
    <t>PO-9104</t>
  </si>
  <si>
    <t>SKU-2042</t>
  </si>
  <si>
    <t>Drip Edge Flashing 10ft</t>
  </si>
  <si>
    <t>TR-5005</t>
  </si>
  <si>
    <t>PO-9105</t>
  </si>
  <si>
    <t>TR-5006</t>
  </si>
  <si>
    <t>PO-9106</t>
  </si>
  <si>
    <t>SKU-2003</t>
  </si>
  <si>
    <t>3-Tab Shingles - Charcoal</t>
  </si>
  <si>
    <t>SKU-2050</t>
  </si>
  <si>
    <t>Roofing Nails 50lb Box</t>
  </si>
  <si>
    <t>DES-114 Macon GA</t>
  </si>
  <si>
    <t>TR-5007</t>
  </si>
  <si>
    <t>PO-9107</t>
  </si>
  <si>
    <t>TR-5008</t>
  </si>
  <si>
    <t>PO-9108</t>
  </si>
  <si>
    <t>TR-5009</t>
  </si>
  <si>
    <t>PO-9109</t>
  </si>
  <si>
    <t>TR-5010</t>
  </si>
  <si>
    <t>PO-9110</t>
  </si>
  <si>
    <t>TR-5011</t>
  </si>
  <si>
    <t>PO-9111</t>
  </si>
  <si>
    <t>TR-5012</t>
  </si>
  <si>
    <t>PO-9112</t>
  </si>
  <si>
    <t>TR-5013</t>
  </si>
  <si>
    <t>PO-9113</t>
  </si>
  <si>
    <t>SKU-2031</t>
  </si>
  <si>
    <t>Bonding Adhesive 5 Gal</t>
  </si>
  <si>
    <t>SKU-2043</t>
  </si>
  <si>
    <t>Step Flashing 50/pk</t>
  </si>
  <si>
    <t>SKU-2040</t>
  </si>
  <si>
    <t>Pipe Boot Flashings</t>
  </si>
  <si>
    <t>SKU-2055</t>
  </si>
  <si>
    <t>Ice &amp; Water Shield Roll</t>
  </si>
  <si>
    <t>TR-5014</t>
  </si>
  <si>
    <t>PO-9114</t>
  </si>
  <si>
    <t>TR-5015</t>
  </si>
  <si>
    <t>PO-9115</t>
  </si>
  <si>
    <t>TR-5016</t>
  </si>
  <si>
    <t>PO-9116</t>
  </si>
  <si>
    <t>TR-5017</t>
  </si>
  <si>
    <t>PO-9117</t>
  </si>
  <si>
    <t>TR-5018</t>
  </si>
  <si>
    <t>PO-9118</t>
  </si>
  <si>
    <t>TR-5019</t>
  </si>
  <si>
    <t>PO-9119</t>
  </si>
  <si>
    <t>TR-5020</t>
  </si>
  <si>
    <t>PO-9120</t>
  </si>
  <si>
    <t>TR-5021</t>
  </si>
  <si>
    <t>PO-9121</t>
  </si>
  <si>
    <t>TR-5022</t>
  </si>
  <si>
    <t>PO-9122</t>
  </si>
  <si>
    <t>TR-5023</t>
  </si>
  <si>
    <t>PO-9123</t>
  </si>
  <si>
    <t>TR-5024</t>
  </si>
  <si>
    <t>PO-9124</t>
  </si>
  <si>
    <t>TR-5025</t>
  </si>
  <si>
    <t>PO-9125</t>
  </si>
  <si>
    <t>TR-5026</t>
  </si>
  <si>
    <t>PO-9126</t>
  </si>
  <si>
    <t>TR-5027</t>
  </si>
  <si>
    <t>PO-9127</t>
  </si>
  <si>
    <t>TR-5028</t>
  </si>
  <si>
    <t>PO-9128</t>
  </si>
  <si>
    <t>TR-5029</t>
  </si>
  <si>
    <t>PO-9129</t>
  </si>
  <si>
    <t>TR-5030</t>
  </si>
  <si>
    <t>PO-9130</t>
  </si>
  <si>
    <t>TR-5031</t>
  </si>
  <si>
    <t>PO-9131</t>
  </si>
  <si>
    <t>TR-5032</t>
  </si>
  <si>
    <t>PO-9132</t>
  </si>
  <si>
    <t>TR-5033</t>
  </si>
  <si>
    <t>PO-9133</t>
  </si>
  <si>
    <t>TR-5034</t>
  </si>
  <si>
    <t>PO-9134</t>
  </si>
  <si>
    <t>TR-5035</t>
  </si>
  <si>
    <t>PO-9135</t>
  </si>
  <si>
    <t>TR-5036</t>
  </si>
  <si>
    <t>PO-9136</t>
  </si>
  <si>
    <t>TR-5037</t>
  </si>
  <si>
    <t>PO-9137</t>
  </si>
  <si>
    <t>TR-5038</t>
  </si>
  <si>
    <t>PO-9138</t>
  </si>
  <si>
    <t>TR-5039</t>
  </si>
  <si>
    <t>PO-9139</t>
  </si>
  <si>
    <t>TR-5040</t>
  </si>
  <si>
    <t>PO-9140</t>
  </si>
  <si>
    <t>TR-5041</t>
  </si>
  <si>
    <t>PO-9141</t>
  </si>
  <si>
    <t>TR-5042</t>
  </si>
  <si>
    <t>PO-9142</t>
  </si>
  <si>
    <t>TR-5043</t>
  </si>
  <si>
    <t>PO-9143</t>
  </si>
  <si>
    <t>TR-5044</t>
  </si>
  <si>
    <t>PO-9144</t>
  </si>
  <si>
    <t>TR-5045</t>
  </si>
  <si>
    <t>PO-9145</t>
  </si>
  <si>
    <t>TR-5046</t>
  </si>
  <si>
    <t>PO-9146</t>
  </si>
  <si>
    <t>TR-5047</t>
  </si>
  <si>
    <t>PO-9147</t>
  </si>
  <si>
    <t>TR-5048</t>
  </si>
  <si>
    <t>PO-9148</t>
  </si>
  <si>
    <t>TR-5049</t>
  </si>
  <si>
    <t>PO-9149</t>
  </si>
  <si>
    <t>TR-5050</t>
  </si>
  <si>
    <t>PO-9150</t>
  </si>
  <si>
    <t>TR-5051</t>
  </si>
  <si>
    <t>PO-9151</t>
  </si>
  <si>
    <t>TR-5052</t>
  </si>
  <si>
    <t>PO-9152</t>
  </si>
  <si>
    <t>TR-5053</t>
  </si>
  <si>
    <t>PO-9153</t>
  </si>
  <si>
    <t>TR-5054</t>
  </si>
  <si>
    <t>PO-9154</t>
  </si>
  <si>
    <t>TR-5055</t>
  </si>
  <si>
    <t>PO-9155</t>
  </si>
  <si>
    <t>TR-5056</t>
  </si>
  <si>
    <t>PO-9156</t>
  </si>
  <si>
    <t>TR-5057</t>
  </si>
  <si>
    <t>PO-9157</t>
  </si>
  <si>
    <t>TR-5058</t>
  </si>
  <si>
    <t>PO-9158</t>
  </si>
  <si>
    <t>TR-5059</t>
  </si>
  <si>
    <t>PO-9159</t>
  </si>
  <si>
    <t>TR-5060</t>
  </si>
  <si>
    <t>PO-9160</t>
  </si>
  <si>
    <t>TR-5061</t>
  </si>
  <si>
    <t>PO-9161</t>
  </si>
  <si>
    <t>TR-5062</t>
  </si>
  <si>
    <t>PO-9162</t>
  </si>
  <si>
    <t>TR-5063</t>
  </si>
  <si>
    <t>PO-9163</t>
  </si>
  <si>
    <t>Month</t>
  </si>
  <si>
    <t>Unique Transfer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</si>
</sst>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14C0C2-8C4B-49C7-878F-3803E7797AF0}" name="TransferData" displayName="TransferData" ref="A1:O173" totalsRowShown="0">
  <autoFilter ref="A1:O173" xr:uid="{8014C0C2-8C4B-49C7-878F-3803E7797AF0}"/>
  <tableColumns count="15">
    <tableColumn id="1" xr3:uid="{F0EFFA2B-9891-4DCA-9EBB-3FDAC9496584}" name="Source Branch"/>
    <tableColumn id="2" xr3:uid="{1A0906BF-534C-42C0-A31B-7A0EFD9EFC52}" name="Ship-to Destination"/>
    <tableColumn id="3" xr3:uid="{B92FFD64-6F43-48D3-AB49-9C8AB31EBA64}" name="Order Date" dataDxfId="3"/>
    <tableColumn id="4" xr3:uid="{813C4F77-5613-4EED-8C78-D20543ECA491}" name="Expect Date" dataDxfId="2"/>
    <tableColumn id="5" xr3:uid="{0839D980-8B80-4DA5-89AE-4F972F1F4EB2}" name="Month" dataDxfId="1">
      <calculatedColumnFormula>TEXT(C2, "MMMM YYYY")</calculatedColumnFormula>
    </tableColumn>
    <tableColumn id="6" xr3:uid="{4D7D3DB7-951D-4513-A8FF-6543C9846ADA}" name="Tran #"/>
    <tableColumn id="7" xr3:uid="{F999F4B7-3F21-427D-BDF9-3F10F0701383}" name="Customer PO"/>
    <tableColumn id="8" xr3:uid="{6BB5F34A-AA1D-482A-AA13-55AF0CCF00E4}" name="Unique Transfer Key">
      <calculatedColumnFormula>A2&amp;"-"&amp;F2</calculatedColumnFormula>
    </tableColumn>
    <tableColumn id="9" xr3:uid="{1E0B8B2D-EEB4-43CF-B920-D5DF1778566A}" name="Staging Status"/>
    <tableColumn id="10" xr3:uid="{FCF009FE-B675-4520-BB9B-D7308A17CB82}" name="Qty"/>
    <tableColumn id="11" xr3:uid="{417F35D4-7940-4F2B-A6F8-A2C07AAE32A0}" name="SKU"/>
    <tableColumn id="12" xr3:uid="{351E4C5F-14A0-4593-B153-557637ACF1E0}" name="Item Description"/>
    <tableColumn id="13" xr3:uid="{1C2555DE-E4D3-42E0-B22A-3518C645E5D6}" name="Transfer Value" dataDxfId="0"/>
    <tableColumn id="14" xr3:uid="{5837F0F5-3A2A-4DAA-B6CE-127D52B48C30}" name="Market Cost"/>
    <tableColumn id="15" xr3:uid="{706BAD56-0A94-4ABA-A49B-68A1DE22A3AE}" name="Average 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96B71-5CB6-4697-8776-D1CD14E489D8}">
  <dimension ref="A1:O697"/>
  <sheetViews>
    <sheetView tabSelected="1" workbookViewId="0"/>
  </sheetViews>
  <sheetFormatPr defaultRowHeight="15" x14ac:dyDescent="0.25"/>
  <cols>
    <col min="1" max="1" width="21.85546875" bestFit="1" customWidth="1"/>
    <col min="2" max="2" width="22" bestFit="1" customWidth="1"/>
    <col min="3" max="3" width="13" customWidth="1"/>
    <col min="4" max="4" width="14" customWidth="1"/>
    <col min="5" max="5" width="14.85546875" bestFit="1" customWidth="1"/>
    <col min="6" max="6" width="8.42578125" customWidth="1"/>
    <col min="7" max="7" width="15.140625" customWidth="1"/>
    <col min="8" max="8" width="29.7109375" bestFit="1" customWidth="1"/>
    <col min="9" max="9" width="15.85546875" customWidth="1"/>
    <col min="10" max="10" width="6.28515625" customWidth="1"/>
    <col min="11" max="11" width="9.140625" bestFit="1" customWidth="1"/>
    <col min="12" max="12" width="31.85546875" bestFit="1" customWidth="1"/>
    <col min="13" max="13" width="16" customWidth="1"/>
    <col min="14" max="14" width="14" customWidth="1"/>
    <col min="15" max="15" width="15" customWidth="1"/>
    <col min="16" max="16" width="18.42578125" bestFit="1" customWidth="1"/>
  </cols>
  <sheetData>
    <row r="1" spans="1:15" x14ac:dyDescent="0.25">
      <c r="A1" t="s">
        <v>0</v>
      </c>
      <c r="B1" t="s">
        <v>15</v>
      </c>
      <c r="C1" t="s">
        <v>4</v>
      </c>
      <c r="D1" t="s">
        <v>1</v>
      </c>
      <c r="E1" t="s">
        <v>172</v>
      </c>
      <c r="F1" t="s">
        <v>2</v>
      </c>
      <c r="G1" t="s">
        <v>3</v>
      </c>
      <c r="H1" t="s">
        <v>173</v>
      </c>
      <c r="I1" t="s">
        <v>5</v>
      </c>
      <c r="J1" t="s">
        <v>6</v>
      </c>
      <c r="K1" t="s">
        <v>16</v>
      </c>
      <c r="L1" t="s">
        <v>7</v>
      </c>
      <c r="M1" t="s">
        <v>8</v>
      </c>
      <c r="N1" t="s">
        <v>9</v>
      </c>
      <c r="O1" t="s">
        <v>10</v>
      </c>
    </row>
    <row r="2" spans="1:15" x14ac:dyDescent="0.25">
      <c r="A2" t="s">
        <v>11</v>
      </c>
      <c r="B2" t="s">
        <v>17</v>
      </c>
      <c r="C2" s="1">
        <v>46027</v>
      </c>
      <c r="D2" s="1">
        <v>46030</v>
      </c>
      <c r="E2" s="1" t="str">
        <f>TEXT(C2, "MMMM YYYY")</f>
        <v>January 2026</v>
      </c>
      <c r="F2" t="s">
        <v>18</v>
      </c>
      <c r="G2" t="s">
        <v>19</v>
      </c>
      <c r="H2" t="str">
        <f>A2&amp;"-"&amp;F2</f>
        <v>SRC-901 Jacksonville FL-TR-5001</v>
      </c>
      <c r="I2" t="s">
        <v>12</v>
      </c>
      <c r="J2">
        <v>120</v>
      </c>
      <c r="K2" t="s">
        <v>20</v>
      </c>
      <c r="L2" t="s">
        <v>21</v>
      </c>
      <c r="M2" s="2">
        <v>7200</v>
      </c>
      <c r="N2">
        <v>60</v>
      </c>
      <c r="O2">
        <v>58.5</v>
      </c>
    </row>
    <row r="3" spans="1:15" x14ac:dyDescent="0.25">
      <c r="A3" t="s">
        <v>11</v>
      </c>
      <c r="B3" t="s">
        <v>17</v>
      </c>
      <c r="C3" s="1">
        <v>46027</v>
      </c>
      <c r="D3" s="1">
        <v>46030</v>
      </c>
      <c r="E3" s="1" t="str">
        <f t="shared" ref="E3:E66" si="0">TEXT(C3, "MMMM YYYY")</f>
        <v>January 2026</v>
      </c>
      <c r="F3" t="s">
        <v>18</v>
      </c>
      <c r="G3" t="s">
        <v>19</v>
      </c>
      <c r="H3" t="str">
        <f>A3&amp;"-"&amp;F3</f>
        <v>SRC-901 Jacksonville FL-TR-5001</v>
      </c>
      <c r="I3" t="s">
        <v>12</v>
      </c>
      <c r="J3">
        <v>15</v>
      </c>
      <c r="K3" t="s">
        <v>22</v>
      </c>
      <c r="L3" t="s">
        <v>23</v>
      </c>
      <c r="M3" s="2">
        <v>825</v>
      </c>
      <c r="N3">
        <v>55</v>
      </c>
      <c r="O3">
        <v>53.2</v>
      </c>
    </row>
    <row r="4" spans="1:15" x14ac:dyDescent="0.25">
      <c r="A4" t="s">
        <v>11</v>
      </c>
      <c r="B4" t="s">
        <v>17</v>
      </c>
      <c r="C4" s="1">
        <v>46027</v>
      </c>
      <c r="D4" s="1">
        <v>46030</v>
      </c>
      <c r="E4" s="1" t="str">
        <f t="shared" si="0"/>
        <v>January 2026</v>
      </c>
      <c r="F4" t="s">
        <v>18</v>
      </c>
      <c r="G4" t="s">
        <v>19</v>
      </c>
      <c r="H4" t="str">
        <f t="shared" ref="H4:H67" si="1">A4&amp;"-"&amp;F4</f>
        <v>SRC-901 Jacksonville FL-TR-5001</v>
      </c>
      <c r="I4" t="s">
        <v>12</v>
      </c>
      <c r="J4">
        <v>10</v>
      </c>
      <c r="K4" t="s">
        <v>24</v>
      </c>
      <c r="L4" t="s">
        <v>25</v>
      </c>
      <c r="M4" s="2">
        <v>950</v>
      </c>
      <c r="N4">
        <v>95</v>
      </c>
      <c r="O4">
        <v>92.1</v>
      </c>
    </row>
    <row r="5" spans="1:15" x14ac:dyDescent="0.25">
      <c r="A5" t="s">
        <v>11</v>
      </c>
      <c r="B5" t="s">
        <v>17</v>
      </c>
      <c r="C5" s="1">
        <v>46027</v>
      </c>
      <c r="D5" s="1">
        <v>46030</v>
      </c>
      <c r="E5" s="1" t="str">
        <f t="shared" si="0"/>
        <v>January 2026</v>
      </c>
      <c r="F5" t="s">
        <v>18</v>
      </c>
      <c r="G5" t="s">
        <v>19</v>
      </c>
      <c r="H5" t="str">
        <f t="shared" si="1"/>
        <v>SRC-901 Jacksonville FL-TR-5001</v>
      </c>
      <c r="I5" t="s">
        <v>12</v>
      </c>
      <c r="J5">
        <v>4</v>
      </c>
      <c r="K5" t="s">
        <v>47</v>
      </c>
      <c r="L5" t="s">
        <v>48</v>
      </c>
      <c r="M5" s="2">
        <v>240</v>
      </c>
      <c r="N5">
        <v>60</v>
      </c>
      <c r="O5">
        <v>57.5</v>
      </c>
    </row>
    <row r="6" spans="1:15" x14ac:dyDescent="0.25">
      <c r="A6" t="s">
        <v>11</v>
      </c>
      <c r="B6" t="s">
        <v>13</v>
      </c>
      <c r="C6" s="1">
        <v>46034</v>
      </c>
      <c r="D6" s="1">
        <v>46037</v>
      </c>
      <c r="E6" s="1" t="str">
        <f t="shared" si="0"/>
        <v>January 2026</v>
      </c>
      <c r="F6" t="s">
        <v>26</v>
      </c>
      <c r="G6" t="s">
        <v>27</v>
      </c>
      <c r="H6" t="str">
        <f t="shared" si="1"/>
        <v>SRC-901 Jacksonville FL-TR-5002</v>
      </c>
      <c r="I6" t="s">
        <v>12</v>
      </c>
      <c r="J6">
        <v>45</v>
      </c>
      <c r="K6" t="s">
        <v>28</v>
      </c>
      <c r="L6" t="s">
        <v>29</v>
      </c>
      <c r="M6" s="2">
        <v>18000</v>
      </c>
      <c r="N6">
        <v>400</v>
      </c>
      <c r="O6">
        <v>385</v>
      </c>
    </row>
    <row r="7" spans="1:15" x14ac:dyDescent="0.25">
      <c r="A7" t="s">
        <v>11</v>
      </c>
      <c r="B7" t="s">
        <v>13</v>
      </c>
      <c r="C7" s="1">
        <v>46034</v>
      </c>
      <c r="D7" s="1">
        <v>46037</v>
      </c>
      <c r="E7" s="1" t="str">
        <f t="shared" si="0"/>
        <v>January 2026</v>
      </c>
      <c r="F7" t="s">
        <v>26</v>
      </c>
      <c r="G7" t="s">
        <v>27</v>
      </c>
      <c r="H7" t="str">
        <f t="shared" si="1"/>
        <v>SRC-901 Jacksonville FL-TR-5002</v>
      </c>
      <c r="I7" t="s">
        <v>12</v>
      </c>
      <c r="J7">
        <v>12</v>
      </c>
      <c r="K7" t="s">
        <v>64</v>
      </c>
      <c r="L7" t="s">
        <v>65</v>
      </c>
      <c r="M7" s="2">
        <v>1320</v>
      </c>
      <c r="N7">
        <v>110</v>
      </c>
      <c r="O7">
        <v>104.5</v>
      </c>
    </row>
    <row r="8" spans="1:15" x14ac:dyDescent="0.25">
      <c r="A8" t="s">
        <v>11</v>
      </c>
      <c r="B8" t="s">
        <v>17</v>
      </c>
      <c r="C8" s="1">
        <v>46041</v>
      </c>
      <c r="D8" s="1">
        <v>46044</v>
      </c>
      <c r="E8" s="1" t="str">
        <f t="shared" si="0"/>
        <v>January 2026</v>
      </c>
      <c r="F8" t="s">
        <v>30</v>
      </c>
      <c r="G8" t="s">
        <v>31</v>
      </c>
      <c r="H8" t="str">
        <f t="shared" si="1"/>
        <v>SRC-901 Jacksonville FL-TR-5003</v>
      </c>
      <c r="I8" t="s">
        <v>12</v>
      </c>
      <c r="J8">
        <v>200</v>
      </c>
      <c r="K8" t="s">
        <v>32</v>
      </c>
      <c r="L8" t="s">
        <v>33</v>
      </c>
      <c r="M8">
        <v>12000</v>
      </c>
      <c r="N8">
        <v>60</v>
      </c>
      <c r="O8">
        <v>59.1</v>
      </c>
    </row>
    <row r="9" spans="1:15" x14ac:dyDescent="0.25">
      <c r="A9" t="s">
        <v>11</v>
      </c>
      <c r="B9" t="s">
        <v>17</v>
      </c>
      <c r="C9" s="1">
        <v>46041</v>
      </c>
      <c r="D9" s="1">
        <v>46044</v>
      </c>
      <c r="E9" s="1" t="str">
        <f t="shared" si="0"/>
        <v>January 2026</v>
      </c>
      <c r="F9" t="s">
        <v>30</v>
      </c>
      <c r="G9" t="s">
        <v>31</v>
      </c>
      <c r="H9" t="str">
        <f t="shared" si="1"/>
        <v>SRC-901 Jacksonville FL-TR-5003</v>
      </c>
      <c r="I9" t="s">
        <v>12</v>
      </c>
      <c r="J9">
        <v>25</v>
      </c>
      <c r="K9" t="s">
        <v>34</v>
      </c>
      <c r="L9" t="s">
        <v>35</v>
      </c>
      <c r="M9" s="2">
        <v>1375</v>
      </c>
      <c r="N9">
        <v>55</v>
      </c>
      <c r="O9">
        <v>53.5</v>
      </c>
    </row>
    <row r="10" spans="1:15" x14ac:dyDescent="0.25">
      <c r="A10" t="s">
        <v>11</v>
      </c>
      <c r="B10" t="s">
        <v>17</v>
      </c>
      <c r="C10" s="1">
        <v>46041</v>
      </c>
      <c r="D10" s="1">
        <v>46044</v>
      </c>
      <c r="E10" s="1" t="str">
        <f t="shared" si="0"/>
        <v>January 2026</v>
      </c>
      <c r="F10" t="s">
        <v>30</v>
      </c>
      <c r="G10" t="s">
        <v>31</v>
      </c>
      <c r="H10" t="str">
        <f t="shared" si="1"/>
        <v>SRC-901 Jacksonville FL-TR-5003</v>
      </c>
      <c r="I10" t="s">
        <v>12</v>
      </c>
      <c r="J10">
        <v>18</v>
      </c>
      <c r="K10" t="s">
        <v>24</v>
      </c>
      <c r="L10" t="s">
        <v>25</v>
      </c>
      <c r="M10" s="2">
        <v>1710</v>
      </c>
      <c r="N10">
        <v>95</v>
      </c>
      <c r="O10">
        <v>92.1</v>
      </c>
    </row>
    <row r="11" spans="1:15" x14ac:dyDescent="0.25">
      <c r="A11" t="s">
        <v>11</v>
      </c>
      <c r="B11" t="s">
        <v>36</v>
      </c>
      <c r="C11" s="1">
        <v>46048</v>
      </c>
      <c r="D11" s="1">
        <v>46051</v>
      </c>
      <c r="E11" s="1" t="str">
        <f t="shared" si="0"/>
        <v>January 2026</v>
      </c>
      <c r="F11" t="s">
        <v>37</v>
      </c>
      <c r="G11" t="s">
        <v>38</v>
      </c>
      <c r="H11" t="str">
        <f t="shared" si="1"/>
        <v>SRC-901 Jacksonville FL-TR-5004</v>
      </c>
      <c r="I11" t="s">
        <v>12</v>
      </c>
      <c r="J11">
        <v>8</v>
      </c>
      <c r="K11" t="s">
        <v>39</v>
      </c>
      <c r="L11" t="s">
        <v>40</v>
      </c>
      <c r="M11" s="2">
        <v>120</v>
      </c>
      <c r="N11">
        <v>15</v>
      </c>
      <c r="O11">
        <v>14.2</v>
      </c>
    </row>
    <row r="12" spans="1:15" x14ac:dyDescent="0.25">
      <c r="A12" t="s">
        <v>11</v>
      </c>
      <c r="B12" t="s">
        <v>36</v>
      </c>
      <c r="C12" s="1">
        <v>46048</v>
      </c>
      <c r="D12" s="1">
        <v>46051</v>
      </c>
      <c r="E12" s="1" t="str">
        <f t="shared" si="0"/>
        <v>January 2026</v>
      </c>
      <c r="F12" t="s">
        <v>37</v>
      </c>
      <c r="G12" t="s">
        <v>38</v>
      </c>
      <c r="H12" t="str">
        <f t="shared" si="1"/>
        <v>SRC-901 Jacksonville FL-TR-5004</v>
      </c>
      <c r="I12" t="s">
        <v>12</v>
      </c>
      <c r="J12">
        <v>15</v>
      </c>
      <c r="K12" t="s">
        <v>66</v>
      </c>
      <c r="L12" t="s">
        <v>67</v>
      </c>
      <c r="M12" s="2">
        <v>375</v>
      </c>
      <c r="N12">
        <v>25</v>
      </c>
      <c r="O12">
        <v>23.8</v>
      </c>
    </row>
    <row r="13" spans="1:15" x14ac:dyDescent="0.25">
      <c r="A13" t="s">
        <v>11</v>
      </c>
      <c r="B13" t="s">
        <v>13</v>
      </c>
      <c r="C13" s="1">
        <v>46055</v>
      </c>
      <c r="D13" s="1">
        <v>46058</v>
      </c>
      <c r="E13" s="1" t="str">
        <f t="shared" si="0"/>
        <v>February 2026</v>
      </c>
      <c r="F13" t="s">
        <v>41</v>
      </c>
      <c r="G13" t="s">
        <v>42</v>
      </c>
      <c r="H13" t="str">
        <f t="shared" si="1"/>
        <v>SRC-901 Jacksonville FL-TR-5005</v>
      </c>
      <c r="I13" t="s">
        <v>12</v>
      </c>
      <c r="J13">
        <v>80</v>
      </c>
      <c r="K13" t="s">
        <v>20</v>
      </c>
      <c r="L13" t="s">
        <v>21</v>
      </c>
      <c r="M13" s="2">
        <v>4800</v>
      </c>
      <c r="N13">
        <v>60</v>
      </c>
      <c r="O13">
        <v>58.5</v>
      </c>
    </row>
    <row r="14" spans="1:15" x14ac:dyDescent="0.25">
      <c r="A14" t="s">
        <v>11</v>
      </c>
      <c r="B14" t="s">
        <v>13</v>
      </c>
      <c r="C14" s="1">
        <v>46055</v>
      </c>
      <c r="D14" s="1">
        <v>46058</v>
      </c>
      <c r="E14" s="1" t="str">
        <f t="shared" si="0"/>
        <v>February 2026</v>
      </c>
      <c r="F14" t="s">
        <v>41</v>
      </c>
      <c r="G14" t="s">
        <v>42</v>
      </c>
      <c r="H14" t="str">
        <f t="shared" si="1"/>
        <v>SRC-901 Jacksonville FL-TR-5005</v>
      </c>
      <c r="I14" t="s">
        <v>12</v>
      </c>
      <c r="J14">
        <v>10</v>
      </c>
      <c r="K14" t="s">
        <v>22</v>
      </c>
      <c r="L14" t="s">
        <v>23</v>
      </c>
      <c r="M14" s="2">
        <v>550</v>
      </c>
      <c r="N14">
        <v>55</v>
      </c>
      <c r="O14">
        <v>53.2</v>
      </c>
    </row>
    <row r="15" spans="1:15" x14ac:dyDescent="0.25">
      <c r="A15" t="s">
        <v>11</v>
      </c>
      <c r="B15" t="s">
        <v>17</v>
      </c>
      <c r="C15" s="1">
        <v>46062</v>
      </c>
      <c r="D15" s="1">
        <v>46065</v>
      </c>
      <c r="E15" s="1" t="str">
        <f t="shared" si="0"/>
        <v>February 2026</v>
      </c>
      <c r="F15" t="s">
        <v>43</v>
      </c>
      <c r="G15" t="s">
        <v>44</v>
      </c>
      <c r="H15" t="str">
        <f t="shared" si="1"/>
        <v>SRC-901 Jacksonville FL-TR-5006</v>
      </c>
      <c r="I15" t="s">
        <v>12</v>
      </c>
      <c r="J15">
        <v>150</v>
      </c>
      <c r="K15" t="s">
        <v>45</v>
      </c>
      <c r="L15" t="s">
        <v>46</v>
      </c>
      <c r="M15" s="2">
        <v>7500</v>
      </c>
      <c r="N15">
        <v>50</v>
      </c>
      <c r="O15">
        <v>48</v>
      </c>
    </row>
    <row r="16" spans="1:15" x14ac:dyDescent="0.25">
      <c r="A16" t="s">
        <v>11</v>
      </c>
      <c r="B16" t="s">
        <v>17</v>
      </c>
      <c r="C16" s="1">
        <v>46062</v>
      </c>
      <c r="D16" s="1">
        <v>46065</v>
      </c>
      <c r="E16" s="1" t="str">
        <f t="shared" si="0"/>
        <v>February 2026</v>
      </c>
      <c r="F16" t="s">
        <v>43</v>
      </c>
      <c r="G16" t="s">
        <v>44</v>
      </c>
      <c r="H16" t="str">
        <f t="shared" si="1"/>
        <v>SRC-901 Jacksonville FL-TR-5006</v>
      </c>
      <c r="I16" t="s">
        <v>12</v>
      </c>
      <c r="J16">
        <v>5</v>
      </c>
      <c r="K16" t="s">
        <v>47</v>
      </c>
      <c r="L16" t="s">
        <v>48</v>
      </c>
      <c r="M16" s="2">
        <v>300</v>
      </c>
      <c r="N16">
        <v>60</v>
      </c>
      <c r="O16">
        <v>57.5</v>
      </c>
    </row>
    <row r="17" spans="1:15" x14ac:dyDescent="0.25">
      <c r="A17" t="s">
        <v>11</v>
      </c>
      <c r="B17" t="s">
        <v>17</v>
      </c>
      <c r="C17" s="1">
        <v>46062</v>
      </c>
      <c r="D17" s="1">
        <v>46065</v>
      </c>
      <c r="E17" s="1" t="str">
        <f t="shared" si="0"/>
        <v>February 2026</v>
      </c>
      <c r="F17" t="s">
        <v>43</v>
      </c>
      <c r="G17" t="s">
        <v>44</v>
      </c>
      <c r="H17" t="str">
        <f t="shared" si="1"/>
        <v>SRC-901 Jacksonville FL-TR-5006</v>
      </c>
      <c r="I17" t="s">
        <v>12</v>
      </c>
      <c r="J17">
        <v>12</v>
      </c>
      <c r="K17" t="s">
        <v>68</v>
      </c>
      <c r="L17" t="s">
        <v>69</v>
      </c>
      <c r="M17" s="2">
        <v>432</v>
      </c>
      <c r="N17">
        <v>36</v>
      </c>
      <c r="O17">
        <v>34</v>
      </c>
    </row>
    <row r="18" spans="1:15" x14ac:dyDescent="0.25">
      <c r="A18" t="s">
        <v>11</v>
      </c>
      <c r="B18" t="s">
        <v>49</v>
      </c>
      <c r="C18" s="1">
        <v>46069</v>
      </c>
      <c r="D18" s="1">
        <v>46072</v>
      </c>
      <c r="E18" s="1" t="str">
        <f t="shared" si="0"/>
        <v>February 2026</v>
      </c>
      <c r="F18" t="s">
        <v>50</v>
      </c>
      <c r="G18" t="s">
        <v>51</v>
      </c>
      <c r="H18" t="str">
        <f t="shared" si="1"/>
        <v>SRC-901 Jacksonville FL-TR-5007</v>
      </c>
      <c r="I18" t="s">
        <v>12</v>
      </c>
      <c r="J18">
        <v>12</v>
      </c>
      <c r="K18" t="s">
        <v>28</v>
      </c>
      <c r="L18" t="s">
        <v>29</v>
      </c>
      <c r="M18" s="2">
        <v>4800</v>
      </c>
      <c r="N18">
        <v>400</v>
      </c>
      <c r="O18">
        <v>385</v>
      </c>
    </row>
    <row r="19" spans="1:15" x14ac:dyDescent="0.25">
      <c r="A19" t="s">
        <v>11</v>
      </c>
      <c r="B19" t="s">
        <v>13</v>
      </c>
      <c r="C19" s="1">
        <v>46076</v>
      </c>
      <c r="D19" s="1">
        <v>46079</v>
      </c>
      <c r="E19" s="1" t="str">
        <f t="shared" si="0"/>
        <v>February 2026</v>
      </c>
      <c r="F19" t="s">
        <v>52</v>
      </c>
      <c r="G19" t="s">
        <v>53</v>
      </c>
      <c r="H19" t="str">
        <f t="shared" si="1"/>
        <v>SRC-901 Jacksonville FL-TR-5008</v>
      </c>
      <c r="I19" t="s">
        <v>12</v>
      </c>
      <c r="J19">
        <v>110</v>
      </c>
      <c r="K19" t="s">
        <v>32</v>
      </c>
      <c r="L19" t="s">
        <v>33</v>
      </c>
      <c r="M19" s="2">
        <v>6600</v>
      </c>
      <c r="N19">
        <v>60</v>
      </c>
      <c r="O19">
        <v>59.1</v>
      </c>
    </row>
    <row r="20" spans="1:15" x14ac:dyDescent="0.25">
      <c r="A20" t="s">
        <v>11</v>
      </c>
      <c r="B20" t="s">
        <v>13</v>
      </c>
      <c r="C20" s="1">
        <v>46076</v>
      </c>
      <c r="D20" s="1">
        <v>46079</v>
      </c>
      <c r="E20" s="1" t="str">
        <f t="shared" si="0"/>
        <v>February 2026</v>
      </c>
      <c r="F20" t="s">
        <v>52</v>
      </c>
      <c r="G20" t="s">
        <v>53</v>
      </c>
      <c r="H20" t="str">
        <f t="shared" si="1"/>
        <v>SRC-901 Jacksonville FL-TR-5008</v>
      </c>
      <c r="I20" t="s">
        <v>12</v>
      </c>
      <c r="J20">
        <v>14</v>
      </c>
      <c r="K20" t="s">
        <v>34</v>
      </c>
      <c r="L20" t="s">
        <v>35</v>
      </c>
      <c r="M20" s="2">
        <v>770</v>
      </c>
      <c r="N20">
        <v>55</v>
      </c>
      <c r="O20">
        <v>53.5</v>
      </c>
    </row>
    <row r="21" spans="1:15" x14ac:dyDescent="0.25">
      <c r="A21" t="s">
        <v>11</v>
      </c>
      <c r="B21" t="s">
        <v>17</v>
      </c>
      <c r="C21" s="1">
        <v>46083</v>
      </c>
      <c r="D21" s="1">
        <v>46086</v>
      </c>
      <c r="E21" s="1" t="str">
        <f t="shared" si="0"/>
        <v>March 2026</v>
      </c>
      <c r="F21" t="s">
        <v>54</v>
      </c>
      <c r="G21" t="s">
        <v>55</v>
      </c>
      <c r="H21" t="str">
        <f t="shared" si="1"/>
        <v>SRC-901 Jacksonville FL-TR-5009</v>
      </c>
      <c r="I21" t="s">
        <v>12</v>
      </c>
      <c r="J21">
        <v>300</v>
      </c>
      <c r="K21" t="s">
        <v>20</v>
      </c>
      <c r="L21" t="s">
        <v>21</v>
      </c>
      <c r="M21" s="2">
        <v>18000</v>
      </c>
      <c r="N21">
        <v>60</v>
      </c>
      <c r="O21">
        <v>58.5</v>
      </c>
    </row>
    <row r="22" spans="1:15" x14ac:dyDescent="0.25">
      <c r="A22" t="s">
        <v>11</v>
      </c>
      <c r="B22" t="s">
        <v>17</v>
      </c>
      <c r="C22" s="1">
        <v>46083</v>
      </c>
      <c r="D22" s="1">
        <v>46086</v>
      </c>
      <c r="E22" s="1" t="str">
        <f t="shared" si="0"/>
        <v>March 2026</v>
      </c>
      <c r="F22" t="s">
        <v>54</v>
      </c>
      <c r="G22" t="s">
        <v>55</v>
      </c>
      <c r="H22" t="str">
        <f t="shared" si="1"/>
        <v>SRC-901 Jacksonville FL-TR-5009</v>
      </c>
      <c r="I22" t="s">
        <v>12</v>
      </c>
      <c r="J22">
        <v>35</v>
      </c>
      <c r="K22" t="s">
        <v>22</v>
      </c>
      <c r="L22" t="s">
        <v>23</v>
      </c>
      <c r="M22">
        <v>1925</v>
      </c>
      <c r="N22">
        <v>55</v>
      </c>
      <c r="O22">
        <v>53.2</v>
      </c>
    </row>
    <row r="23" spans="1:15" x14ac:dyDescent="0.25">
      <c r="A23" t="s">
        <v>11</v>
      </c>
      <c r="B23" t="s">
        <v>17</v>
      </c>
      <c r="C23" s="1">
        <v>46083</v>
      </c>
      <c r="D23" s="1">
        <v>46086</v>
      </c>
      <c r="E23" s="1" t="str">
        <f t="shared" si="0"/>
        <v>March 2026</v>
      </c>
      <c r="F23" t="s">
        <v>54</v>
      </c>
      <c r="G23" t="s">
        <v>55</v>
      </c>
      <c r="H23" t="str">
        <f t="shared" si="1"/>
        <v>SRC-901 Jacksonville FL-TR-5009</v>
      </c>
      <c r="I23" t="s">
        <v>12</v>
      </c>
      <c r="J23">
        <v>20</v>
      </c>
      <c r="K23" t="s">
        <v>24</v>
      </c>
      <c r="L23" t="s">
        <v>25</v>
      </c>
      <c r="M23">
        <v>1900</v>
      </c>
      <c r="N23">
        <v>95</v>
      </c>
      <c r="O23">
        <v>92.1</v>
      </c>
    </row>
    <row r="24" spans="1:15" x14ac:dyDescent="0.25">
      <c r="A24" t="s">
        <v>11</v>
      </c>
      <c r="B24" t="s">
        <v>17</v>
      </c>
      <c r="C24" s="1">
        <v>46083</v>
      </c>
      <c r="D24" s="1">
        <v>46086</v>
      </c>
      <c r="E24" s="1" t="str">
        <f t="shared" si="0"/>
        <v>March 2026</v>
      </c>
      <c r="F24" t="s">
        <v>54</v>
      </c>
      <c r="G24" t="s">
        <v>55</v>
      </c>
      <c r="H24" t="str">
        <f t="shared" si="1"/>
        <v>SRC-901 Jacksonville FL-TR-5009</v>
      </c>
      <c r="I24" t="s">
        <v>12</v>
      </c>
      <c r="J24">
        <v>8</v>
      </c>
      <c r="K24" t="s">
        <v>47</v>
      </c>
      <c r="L24" t="s">
        <v>48</v>
      </c>
      <c r="M24" s="2">
        <v>480</v>
      </c>
      <c r="N24">
        <v>60</v>
      </c>
      <c r="O24">
        <v>57.5</v>
      </c>
    </row>
    <row r="25" spans="1:15" x14ac:dyDescent="0.25">
      <c r="A25" t="s">
        <v>11</v>
      </c>
      <c r="B25" t="s">
        <v>17</v>
      </c>
      <c r="C25" s="1">
        <v>46083</v>
      </c>
      <c r="D25" s="1">
        <v>46086</v>
      </c>
      <c r="E25" s="1" t="str">
        <f t="shared" si="0"/>
        <v>March 2026</v>
      </c>
      <c r="F25" t="s">
        <v>54</v>
      </c>
      <c r="G25" t="s">
        <v>55</v>
      </c>
      <c r="H25" t="str">
        <f t="shared" si="1"/>
        <v>SRC-901 Jacksonville FL-TR-5009</v>
      </c>
      <c r="I25" t="s">
        <v>12</v>
      </c>
      <c r="J25">
        <v>10</v>
      </c>
      <c r="K25" t="s">
        <v>70</v>
      </c>
      <c r="L25" t="s">
        <v>71</v>
      </c>
      <c r="M25" s="2">
        <v>1200</v>
      </c>
      <c r="N25">
        <v>120</v>
      </c>
      <c r="O25">
        <v>114</v>
      </c>
    </row>
    <row r="26" spans="1:15" x14ac:dyDescent="0.25">
      <c r="A26" t="s">
        <v>11</v>
      </c>
      <c r="B26" t="s">
        <v>13</v>
      </c>
      <c r="C26" s="1">
        <v>46090</v>
      </c>
      <c r="D26" s="1">
        <v>46093</v>
      </c>
      <c r="E26" s="1" t="str">
        <f t="shared" si="0"/>
        <v>March 2026</v>
      </c>
      <c r="F26" t="s">
        <v>56</v>
      </c>
      <c r="G26" t="s">
        <v>57</v>
      </c>
      <c r="H26" t="str">
        <f t="shared" si="1"/>
        <v>SRC-901 Jacksonville FL-TR-5010</v>
      </c>
      <c r="I26" t="s">
        <v>12</v>
      </c>
      <c r="J26">
        <v>60</v>
      </c>
      <c r="K26" t="s">
        <v>45</v>
      </c>
      <c r="L26" t="s">
        <v>46</v>
      </c>
      <c r="M26" s="2">
        <v>3000</v>
      </c>
      <c r="N26">
        <v>50</v>
      </c>
      <c r="O26">
        <v>48</v>
      </c>
    </row>
    <row r="27" spans="1:15" x14ac:dyDescent="0.25">
      <c r="A27" t="s">
        <v>11</v>
      </c>
      <c r="B27" t="s">
        <v>36</v>
      </c>
      <c r="C27" s="1">
        <v>46097</v>
      </c>
      <c r="D27" s="1">
        <v>46100</v>
      </c>
      <c r="E27" s="1" t="str">
        <f t="shared" si="0"/>
        <v>March 2026</v>
      </c>
      <c r="F27" t="s">
        <v>58</v>
      </c>
      <c r="G27" t="s">
        <v>59</v>
      </c>
      <c r="H27" t="str">
        <f t="shared" si="1"/>
        <v>SRC-901 Jacksonville FL-TR-5011</v>
      </c>
      <c r="I27" t="s">
        <v>12</v>
      </c>
      <c r="J27">
        <v>18</v>
      </c>
      <c r="K27" t="s">
        <v>24</v>
      </c>
      <c r="L27" t="s">
        <v>25</v>
      </c>
      <c r="M27" s="2">
        <v>1710</v>
      </c>
      <c r="N27">
        <v>95</v>
      </c>
      <c r="O27">
        <v>92.1</v>
      </c>
    </row>
    <row r="28" spans="1:15" x14ac:dyDescent="0.25">
      <c r="A28" t="s">
        <v>11</v>
      </c>
      <c r="B28" t="s">
        <v>36</v>
      </c>
      <c r="C28" s="1">
        <v>46097</v>
      </c>
      <c r="D28" s="1">
        <v>46100</v>
      </c>
      <c r="E28" s="1" t="str">
        <f t="shared" si="0"/>
        <v>March 2026</v>
      </c>
      <c r="F28" t="s">
        <v>58</v>
      </c>
      <c r="G28" t="s">
        <v>59</v>
      </c>
      <c r="H28" t="str">
        <f t="shared" si="1"/>
        <v>SRC-901 Jacksonville FL-TR-5011</v>
      </c>
      <c r="I28" t="s">
        <v>12</v>
      </c>
      <c r="J28">
        <v>6</v>
      </c>
      <c r="K28" t="s">
        <v>39</v>
      </c>
      <c r="L28" t="s">
        <v>40</v>
      </c>
      <c r="M28" s="2">
        <v>90</v>
      </c>
      <c r="N28">
        <v>15</v>
      </c>
      <c r="O28">
        <v>14.2</v>
      </c>
    </row>
    <row r="29" spans="1:15" x14ac:dyDescent="0.25">
      <c r="A29" t="s">
        <v>11</v>
      </c>
      <c r="B29" t="s">
        <v>17</v>
      </c>
      <c r="C29" s="1">
        <v>46104</v>
      </c>
      <c r="D29" s="1">
        <v>46107</v>
      </c>
      <c r="E29" s="1" t="str">
        <f t="shared" si="0"/>
        <v>March 2026</v>
      </c>
      <c r="F29" t="s">
        <v>60</v>
      </c>
      <c r="G29" t="s">
        <v>61</v>
      </c>
      <c r="H29" t="str">
        <f t="shared" si="1"/>
        <v>SRC-901 Jacksonville FL-TR-5012</v>
      </c>
      <c r="I29" t="s">
        <v>12</v>
      </c>
      <c r="J29">
        <v>175</v>
      </c>
      <c r="K29" t="s">
        <v>32</v>
      </c>
      <c r="L29" t="s">
        <v>33</v>
      </c>
      <c r="M29">
        <v>10500</v>
      </c>
      <c r="N29">
        <v>60</v>
      </c>
      <c r="O29">
        <v>59.1</v>
      </c>
    </row>
    <row r="30" spans="1:15" x14ac:dyDescent="0.25">
      <c r="A30" t="s">
        <v>11</v>
      </c>
      <c r="B30" t="s">
        <v>17</v>
      </c>
      <c r="C30" s="1">
        <v>46104</v>
      </c>
      <c r="D30" s="1">
        <v>46107</v>
      </c>
      <c r="E30" s="1" t="str">
        <f t="shared" si="0"/>
        <v>March 2026</v>
      </c>
      <c r="F30" t="s">
        <v>60</v>
      </c>
      <c r="G30" t="s">
        <v>61</v>
      </c>
      <c r="H30" t="str">
        <f t="shared" si="1"/>
        <v>SRC-901 Jacksonville FL-TR-5012</v>
      </c>
      <c r="I30" t="s">
        <v>12</v>
      </c>
      <c r="J30">
        <v>20</v>
      </c>
      <c r="K30" t="s">
        <v>34</v>
      </c>
      <c r="L30" t="s">
        <v>35</v>
      </c>
      <c r="M30" s="2">
        <v>1100</v>
      </c>
      <c r="N30">
        <v>55</v>
      </c>
      <c r="O30">
        <v>53.5</v>
      </c>
    </row>
    <row r="31" spans="1:15" x14ac:dyDescent="0.25">
      <c r="A31" t="s">
        <v>11</v>
      </c>
      <c r="B31" t="s">
        <v>13</v>
      </c>
      <c r="C31" s="1">
        <v>46111</v>
      </c>
      <c r="D31" s="1">
        <v>46114</v>
      </c>
      <c r="E31" s="1" t="str">
        <f t="shared" si="0"/>
        <v>March 2026</v>
      </c>
      <c r="F31" t="s">
        <v>62</v>
      </c>
      <c r="G31" t="s">
        <v>63</v>
      </c>
      <c r="H31" t="str">
        <f t="shared" si="1"/>
        <v>SRC-901 Jacksonville FL-TR-5013</v>
      </c>
      <c r="I31" t="s">
        <v>12</v>
      </c>
      <c r="J31">
        <v>95</v>
      </c>
      <c r="K31" t="s">
        <v>20</v>
      </c>
      <c r="L31" t="s">
        <v>21</v>
      </c>
      <c r="M31">
        <v>5700</v>
      </c>
      <c r="N31">
        <v>60</v>
      </c>
      <c r="O31">
        <v>58.5</v>
      </c>
    </row>
    <row r="32" spans="1:15" x14ac:dyDescent="0.25">
      <c r="A32" t="s">
        <v>11</v>
      </c>
      <c r="B32" t="s">
        <v>13</v>
      </c>
      <c r="C32" s="1">
        <v>46111</v>
      </c>
      <c r="D32" s="1">
        <v>46114</v>
      </c>
      <c r="E32" s="1" t="str">
        <f t="shared" si="0"/>
        <v>March 2026</v>
      </c>
      <c r="F32" t="s">
        <v>62</v>
      </c>
      <c r="G32" t="s">
        <v>63</v>
      </c>
      <c r="H32" t="str">
        <f t="shared" si="1"/>
        <v>SRC-901 Jacksonville FL-TR-5013</v>
      </c>
      <c r="I32" t="s">
        <v>12</v>
      </c>
      <c r="J32">
        <v>12</v>
      </c>
      <c r="K32" t="s">
        <v>22</v>
      </c>
      <c r="L32" t="s">
        <v>23</v>
      </c>
      <c r="M32" s="2">
        <v>660</v>
      </c>
      <c r="N32">
        <v>55</v>
      </c>
      <c r="O32">
        <v>53.2</v>
      </c>
    </row>
    <row r="33" spans="1:15" x14ac:dyDescent="0.25">
      <c r="A33" t="s">
        <v>11</v>
      </c>
      <c r="B33" t="s">
        <v>13</v>
      </c>
      <c r="C33" s="1">
        <v>46111</v>
      </c>
      <c r="D33" s="1">
        <v>46114</v>
      </c>
      <c r="E33" s="1" t="str">
        <f t="shared" si="0"/>
        <v>March 2026</v>
      </c>
      <c r="F33" t="s">
        <v>62</v>
      </c>
      <c r="G33" t="s">
        <v>63</v>
      </c>
      <c r="H33" t="str">
        <f t="shared" si="1"/>
        <v>SRC-901 Jacksonville FL-TR-5013</v>
      </c>
      <c r="I33" t="s">
        <v>12</v>
      </c>
      <c r="J33">
        <v>8</v>
      </c>
      <c r="K33" t="s">
        <v>24</v>
      </c>
      <c r="L33" t="s">
        <v>25</v>
      </c>
      <c r="M33">
        <v>760</v>
      </c>
      <c r="N33">
        <v>95</v>
      </c>
      <c r="O33">
        <v>92.1</v>
      </c>
    </row>
    <row r="34" spans="1:15" x14ac:dyDescent="0.25">
      <c r="A34" t="s">
        <v>11</v>
      </c>
      <c r="B34" t="s">
        <v>14</v>
      </c>
      <c r="C34" s="1">
        <v>46118</v>
      </c>
      <c r="D34" s="1">
        <v>46121</v>
      </c>
      <c r="E34" s="1" t="str">
        <f t="shared" si="0"/>
        <v>April 2026</v>
      </c>
      <c r="F34" t="s">
        <v>72</v>
      </c>
      <c r="G34" t="s">
        <v>73</v>
      </c>
      <c r="H34" t="str">
        <f t="shared" si="1"/>
        <v>SRC-901 Jacksonville FL-TR-5014</v>
      </c>
      <c r="I34" t="s">
        <v>12</v>
      </c>
      <c r="J34">
        <v>22</v>
      </c>
      <c r="K34" t="s">
        <v>28</v>
      </c>
      <c r="L34" t="s">
        <v>29</v>
      </c>
      <c r="M34" s="2">
        <v>8800</v>
      </c>
      <c r="N34">
        <v>400</v>
      </c>
      <c r="O34">
        <v>385</v>
      </c>
    </row>
    <row r="35" spans="1:15" x14ac:dyDescent="0.25">
      <c r="A35" t="s">
        <v>11</v>
      </c>
      <c r="B35" t="s">
        <v>14</v>
      </c>
      <c r="C35" s="1">
        <v>46118</v>
      </c>
      <c r="D35" s="1">
        <v>46121</v>
      </c>
      <c r="E35" s="1" t="str">
        <f t="shared" si="0"/>
        <v>April 2026</v>
      </c>
      <c r="F35" t="s">
        <v>72</v>
      </c>
      <c r="G35" t="s">
        <v>73</v>
      </c>
      <c r="H35" t="str">
        <f t="shared" si="1"/>
        <v>SRC-901 Jacksonville FL-TR-5014</v>
      </c>
      <c r="I35" t="s">
        <v>12</v>
      </c>
      <c r="J35">
        <v>6</v>
      </c>
      <c r="K35" t="s">
        <v>64</v>
      </c>
      <c r="L35" t="s">
        <v>65</v>
      </c>
      <c r="M35">
        <v>660</v>
      </c>
      <c r="N35">
        <v>110</v>
      </c>
      <c r="O35">
        <v>104.5</v>
      </c>
    </row>
    <row r="36" spans="1:15" x14ac:dyDescent="0.25">
      <c r="A36" t="s">
        <v>11</v>
      </c>
      <c r="B36" t="s">
        <v>17</v>
      </c>
      <c r="C36" s="1">
        <v>46125</v>
      </c>
      <c r="D36" s="1">
        <v>46128</v>
      </c>
      <c r="E36" s="1" t="str">
        <f t="shared" si="0"/>
        <v>April 2026</v>
      </c>
      <c r="F36" t="s">
        <v>74</v>
      </c>
      <c r="G36" t="s">
        <v>75</v>
      </c>
      <c r="H36" t="str">
        <f t="shared" si="1"/>
        <v>SRC-901 Jacksonville FL-TR-5015</v>
      </c>
      <c r="I36" t="s">
        <v>12</v>
      </c>
      <c r="J36">
        <v>210</v>
      </c>
      <c r="K36" t="s">
        <v>20</v>
      </c>
      <c r="L36" t="s">
        <v>21</v>
      </c>
      <c r="M36" s="2">
        <v>12600</v>
      </c>
      <c r="N36">
        <v>60</v>
      </c>
      <c r="O36">
        <v>58.5</v>
      </c>
    </row>
    <row r="37" spans="1:15" x14ac:dyDescent="0.25">
      <c r="A37" t="s">
        <v>11</v>
      </c>
      <c r="B37" t="s">
        <v>17</v>
      </c>
      <c r="C37" s="1">
        <v>46125</v>
      </c>
      <c r="D37" s="1">
        <v>46128</v>
      </c>
      <c r="E37" s="1" t="str">
        <f t="shared" si="0"/>
        <v>April 2026</v>
      </c>
      <c r="F37" t="s">
        <v>74</v>
      </c>
      <c r="G37" t="s">
        <v>75</v>
      </c>
      <c r="H37" t="str">
        <f t="shared" si="1"/>
        <v>SRC-901 Jacksonville FL-TR-5015</v>
      </c>
      <c r="I37" t="s">
        <v>12</v>
      </c>
      <c r="J37">
        <v>24</v>
      </c>
      <c r="K37" t="s">
        <v>22</v>
      </c>
      <c r="L37" t="s">
        <v>23</v>
      </c>
      <c r="M37">
        <v>1320</v>
      </c>
      <c r="N37">
        <v>55</v>
      </c>
      <c r="O37">
        <v>53.2</v>
      </c>
    </row>
    <row r="38" spans="1:15" x14ac:dyDescent="0.25">
      <c r="A38" t="s">
        <v>11</v>
      </c>
      <c r="B38" t="s">
        <v>17</v>
      </c>
      <c r="C38" s="1">
        <v>46125</v>
      </c>
      <c r="D38" s="1">
        <v>46128</v>
      </c>
      <c r="E38" s="1" t="str">
        <f t="shared" si="0"/>
        <v>April 2026</v>
      </c>
      <c r="F38" t="s">
        <v>74</v>
      </c>
      <c r="G38" t="s">
        <v>75</v>
      </c>
      <c r="H38" t="str">
        <f t="shared" si="1"/>
        <v>SRC-901 Jacksonville FL-TR-5015</v>
      </c>
      <c r="I38" t="s">
        <v>12</v>
      </c>
      <c r="J38">
        <v>15</v>
      </c>
      <c r="K38" t="s">
        <v>24</v>
      </c>
      <c r="L38" t="s">
        <v>25</v>
      </c>
      <c r="M38">
        <v>1425</v>
      </c>
      <c r="N38">
        <v>95</v>
      </c>
      <c r="O38">
        <v>92.1</v>
      </c>
    </row>
    <row r="39" spans="1:15" x14ac:dyDescent="0.25">
      <c r="A39" t="s">
        <v>11</v>
      </c>
      <c r="B39" t="s">
        <v>17</v>
      </c>
      <c r="C39" s="1">
        <v>46125</v>
      </c>
      <c r="D39" s="1">
        <v>46128</v>
      </c>
      <c r="E39" s="1" t="str">
        <f t="shared" si="0"/>
        <v>April 2026</v>
      </c>
      <c r="F39" t="s">
        <v>74</v>
      </c>
      <c r="G39" t="s">
        <v>75</v>
      </c>
      <c r="H39" t="str">
        <f t="shared" si="1"/>
        <v>SRC-901 Jacksonville FL-TR-5015</v>
      </c>
      <c r="I39" t="s">
        <v>12</v>
      </c>
      <c r="J39">
        <v>6</v>
      </c>
      <c r="K39" t="s">
        <v>47</v>
      </c>
      <c r="L39" t="s">
        <v>48</v>
      </c>
      <c r="M39" s="2">
        <v>360</v>
      </c>
      <c r="N39">
        <v>60</v>
      </c>
      <c r="O39">
        <v>57.5</v>
      </c>
    </row>
    <row r="40" spans="1:15" x14ac:dyDescent="0.25">
      <c r="A40" t="s">
        <v>11</v>
      </c>
      <c r="B40" t="s">
        <v>17</v>
      </c>
      <c r="C40" s="1">
        <v>46125</v>
      </c>
      <c r="D40" s="1">
        <v>46128</v>
      </c>
      <c r="E40" s="1" t="str">
        <f t="shared" si="0"/>
        <v>April 2026</v>
      </c>
      <c r="F40" t="s">
        <v>74</v>
      </c>
      <c r="G40" t="s">
        <v>75</v>
      </c>
      <c r="H40" t="str">
        <f t="shared" si="1"/>
        <v>SRC-901 Jacksonville FL-TR-5015</v>
      </c>
      <c r="I40" t="s">
        <v>12</v>
      </c>
      <c r="J40">
        <v>8</v>
      </c>
      <c r="K40" t="s">
        <v>70</v>
      </c>
      <c r="L40" t="s">
        <v>71</v>
      </c>
      <c r="M40">
        <v>960</v>
      </c>
      <c r="N40">
        <v>120</v>
      </c>
      <c r="O40">
        <v>114</v>
      </c>
    </row>
    <row r="41" spans="1:15" x14ac:dyDescent="0.25">
      <c r="A41" t="s">
        <v>11</v>
      </c>
      <c r="B41" t="s">
        <v>36</v>
      </c>
      <c r="C41" s="1">
        <v>46132</v>
      </c>
      <c r="D41" s="1">
        <v>46135</v>
      </c>
      <c r="E41" s="1" t="str">
        <f t="shared" si="0"/>
        <v>April 2026</v>
      </c>
      <c r="F41" t="s">
        <v>76</v>
      </c>
      <c r="G41" t="s">
        <v>77</v>
      </c>
      <c r="H41" t="str">
        <f t="shared" si="1"/>
        <v>SRC-901 Jacksonville FL-TR-5016</v>
      </c>
      <c r="I41" t="s">
        <v>12</v>
      </c>
      <c r="J41">
        <v>40</v>
      </c>
      <c r="K41" t="s">
        <v>45</v>
      </c>
      <c r="L41" t="s">
        <v>46</v>
      </c>
      <c r="M41">
        <v>2000</v>
      </c>
      <c r="N41">
        <v>50</v>
      </c>
      <c r="O41">
        <v>48</v>
      </c>
    </row>
    <row r="42" spans="1:15" x14ac:dyDescent="0.25">
      <c r="A42" t="s">
        <v>11</v>
      </c>
      <c r="B42" t="s">
        <v>13</v>
      </c>
      <c r="C42" s="1">
        <v>46139</v>
      </c>
      <c r="D42" s="1">
        <v>46142</v>
      </c>
      <c r="E42" s="1" t="str">
        <f t="shared" si="0"/>
        <v>April 2026</v>
      </c>
      <c r="F42" t="s">
        <v>78</v>
      </c>
      <c r="G42" t="s">
        <v>79</v>
      </c>
      <c r="H42" t="str">
        <f t="shared" si="1"/>
        <v>SRC-901 Jacksonville FL-TR-5017</v>
      </c>
      <c r="I42" t="s">
        <v>12</v>
      </c>
      <c r="J42">
        <v>130</v>
      </c>
      <c r="K42" t="s">
        <v>32</v>
      </c>
      <c r="L42" t="s">
        <v>33</v>
      </c>
      <c r="M42">
        <v>7800</v>
      </c>
      <c r="N42">
        <v>60</v>
      </c>
      <c r="O42">
        <v>59.1</v>
      </c>
    </row>
    <row r="43" spans="1:15" x14ac:dyDescent="0.25">
      <c r="A43" t="s">
        <v>11</v>
      </c>
      <c r="B43" t="s">
        <v>13</v>
      </c>
      <c r="C43" s="1">
        <v>46139</v>
      </c>
      <c r="D43" s="1">
        <v>46142</v>
      </c>
      <c r="E43" s="1" t="str">
        <f t="shared" si="0"/>
        <v>April 2026</v>
      </c>
      <c r="F43" t="s">
        <v>78</v>
      </c>
      <c r="G43" t="s">
        <v>79</v>
      </c>
      <c r="H43" t="str">
        <f t="shared" si="1"/>
        <v>SRC-901 Jacksonville FL-TR-5017</v>
      </c>
      <c r="I43" t="s">
        <v>12</v>
      </c>
      <c r="J43">
        <v>16</v>
      </c>
      <c r="K43" t="s">
        <v>34</v>
      </c>
      <c r="L43" t="s">
        <v>35</v>
      </c>
      <c r="M43">
        <v>880</v>
      </c>
      <c r="N43">
        <v>55</v>
      </c>
      <c r="O43">
        <v>53.5</v>
      </c>
    </row>
    <row r="44" spans="1:15" x14ac:dyDescent="0.25">
      <c r="A44" t="s">
        <v>11</v>
      </c>
      <c r="B44" t="s">
        <v>17</v>
      </c>
      <c r="C44" s="1">
        <v>46146</v>
      </c>
      <c r="D44" s="1">
        <v>46149</v>
      </c>
      <c r="E44" s="1" t="str">
        <f t="shared" si="0"/>
        <v>May 2026</v>
      </c>
      <c r="F44" t="s">
        <v>80</v>
      </c>
      <c r="G44" t="s">
        <v>81</v>
      </c>
      <c r="H44" t="str">
        <f t="shared" si="1"/>
        <v>SRC-901 Jacksonville FL-TR-5018</v>
      </c>
      <c r="I44" t="s">
        <v>12</v>
      </c>
      <c r="J44">
        <v>160</v>
      </c>
      <c r="K44" t="s">
        <v>20</v>
      </c>
      <c r="L44" t="s">
        <v>21</v>
      </c>
      <c r="M44" s="2">
        <v>9600</v>
      </c>
      <c r="N44">
        <v>60</v>
      </c>
      <c r="O44">
        <v>58.5</v>
      </c>
    </row>
    <row r="45" spans="1:15" x14ac:dyDescent="0.25">
      <c r="A45" t="s">
        <v>11</v>
      </c>
      <c r="B45" t="s">
        <v>17</v>
      </c>
      <c r="C45" s="1">
        <v>46146</v>
      </c>
      <c r="D45" s="1">
        <v>46149</v>
      </c>
      <c r="E45" s="1" t="str">
        <f t="shared" si="0"/>
        <v>May 2026</v>
      </c>
      <c r="F45" t="s">
        <v>80</v>
      </c>
      <c r="G45" t="s">
        <v>81</v>
      </c>
      <c r="H45" t="str">
        <f t="shared" si="1"/>
        <v>SRC-901 Jacksonville FL-TR-5018</v>
      </c>
      <c r="I45" t="s">
        <v>12</v>
      </c>
      <c r="J45">
        <v>18</v>
      </c>
      <c r="K45" t="s">
        <v>22</v>
      </c>
      <c r="L45" t="s">
        <v>23</v>
      </c>
      <c r="M45">
        <v>990</v>
      </c>
      <c r="N45">
        <v>55</v>
      </c>
      <c r="O45">
        <v>53.2</v>
      </c>
    </row>
    <row r="46" spans="1:15" x14ac:dyDescent="0.25">
      <c r="A46" t="s">
        <v>11</v>
      </c>
      <c r="B46" t="s">
        <v>17</v>
      </c>
      <c r="C46" s="1">
        <v>46146</v>
      </c>
      <c r="D46" s="1">
        <v>46149</v>
      </c>
      <c r="E46" s="1" t="str">
        <f t="shared" si="0"/>
        <v>May 2026</v>
      </c>
      <c r="F46" t="s">
        <v>80</v>
      </c>
      <c r="G46" t="s">
        <v>81</v>
      </c>
      <c r="H46" t="str">
        <f t="shared" si="1"/>
        <v>SRC-901 Jacksonville FL-TR-5018</v>
      </c>
      <c r="I46" t="s">
        <v>12</v>
      </c>
      <c r="J46">
        <v>10</v>
      </c>
      <c r="K46" t="s">
        <v>24</v>
      </c>
      <c r="L46" t="s">
        <v>25</v>
      </c>
      <c r="M46" s="2">
        <v>950</v>
      </c>
      <c r="N46">
        <v>95</v>
      </c>
      <c r="O46">
        <v>92.1</v>
      </c>
    </row>
    <row r="47" spans="1:15" x14ac:dyDescent="0.25">
      <c r="A47" t="s">
        <v>11</v>
      </c>
      <c r="B47" t="s">
        <v>49</v>
      </c>
      <c r="C47" s="1">
        <v>46153</v>
      </c>
      <c r="D47" s="1">
        <v>46156</v>
      </c>
      <c r="E47" s="1" t="str">
        <f t="shared" si="0"/>
        <v>May 2026</v>
      </c>
      <c r="F47" t="s">
        <v>82</v>
      </c>
      <c r="G47" t="s">
        <v>83</v>
      </c>
      <c r="H47" t="str">
        <f t="shared" si="1"/>
        <v>SRC-901 Jacksonville FL-TR-5019</v>
      </c>
      <c r="I47" t="s">
        <v>12</v>
      </c>
      <c r="J47">
        <v>15</v>
      </c>
      <c r="K47" t="s">
        <v>28</v>
      </c>
      <c r="L47" t="s">
        <v>29</v>
      </c>
      <c r="M47" s="2">
        <v>6000</v>
      </c>
      <c r="N47">
        <v>400</v>
      </c>
      <c r="O47">
        <v>385</v>
      </c>
    </row>
    <row r="48" spans="1:15" x14ac:dyDescent="0.25">
      <c r="A48" t="s">
        <v>11</v>
      </c>
      <c r="B48" t="s">
        <v>17</v>
      </c>
      <c r="C48" s="1">
        <v>46160</v>
      </c>
      <c r="D48" s="1">
        <v>46163</v>
      </c>
      <c r="E48" s="1" t="str">
        <f t="shared" si="0"/>
        <v>May 2026</v>
      </c>
      <c r="F48" t="s">
        <v>84</v>
      </c>
      <c r="G48" t="s">
        <v>85</v>
      </c>
      <c r="H48" t="str">
        <f t="shared" si="1"/>
        <v>SRC-901 Jacksonville FL-TR-5020</v>
      </c>
      <c r="I48" t="s">
        <v>12</v>
      </c>
      <c r="J48">
        <v>140</v>
      </c>
      <c r="K48" t="s">
        <v>32</v>
      </c>
      <c r="L48" t="s">
        <v>33</v>
      </c>
      <c r="M48">
        <v>8400</v>
      </c>
      <c r="N48">
        <v>60</v>
      </c>
      <c r="O48">
        <v>59.1</v>
      </c>
    </row>
    <row r="49" spans="1:15" x14ac:dyDescent="0.25">
      <c r="A49" t="s">
        <v>11</v>
      </c>
      <c r="B49" t="s">
        <v>17</v>
      </c>
      <c r="C49" s="1">
        <v>46160</v>
      </c>
      <c r="D49" s="1">
        <v>46163</v>
      </c>
      <c r="E49" s="1" t="str">
        <f t="shared" si="0"/>
        <v>May 2026</v>
      </c>
      <c r="F49" t="s">
        <v>84</v>
      </c>
      <c r="G49" t="s">
        <v>85</v>
      </c>
      <c r="H49" t="str">
        <f t="shared" si="1"/>
        <v>SRC-901 Jacksonville FL-TR-5020</v>
      </c>
      <c r="I49" t="s">
        <v>12</v>
      </c>
      <c r="J49">
        <v>16</v>
      </c>
      <c r="K49" t="s">
        <v>34</v>
      </c>
      <c r="L49" t="s">
        <v>35</v>
      </c>
      <c r="M49">
        <v>880</v>
      </c>
      <c r="N49">
        <v>55</v>
      </c>
      <c r="O49">
        <v>53.5</v>
      </c>
    </row>
    <row r="50" spans="1:15" x14ac:dyDescent="0.25">
      <c r="A50" t="s">
        <v>11</v>
      </c>
      <c r="B50" t="s">
        <v>17</v>
      </c>
      <c r="C50" s="1">
        <v>46160</v>
      </c>
      <c r="D50" s="1">
        <v>46163</v>
      </c>
      <c r="E50" s="1" t="str">
        <f t="shared" si="0"/>
        <v>May 2026</v>
      </c>
      <c r="F50" t="s">
        <v>84</v>
      </c>
      <c r="G50" t="s">
        <v>85</v>
      </c>
      <c r="H50" t="str">
        <f t="shared" si="1"/>
        <v>SRC-901 Jacksonville FL-TR-5020</v>
      </c>
      <c r="I50" t="s">
        <v>12</v>
      </c>
      <c r="J50">
        <v>12</v>
      </c>
      <c r="K50" t="s">
        <v>24</v>
      </c>
      <c r="L50" t="s">
        <v>25</v>
      </c>
      <c r="M50" s="2">
        <v>1140</v>
      </c>
      <c r="N50">
        <v>95</v>
      </c>
      <c r="O50">
        <v>92.1</v>
      </c>
    </row>
    <row r="51" spans="1:15" x14ac:dyDescent="0.25">
      <c r="A51" t="s">
        <v>11</v>
      </c>
      <c r="B51" t="s">
        <v>13</v>
      </c>
      <c r="C51" s="1">
        <v>46167</v>
      </c>
      <c r="D51" s="1">
        <v>46170</v>
      </c>
      <c r="E51" s="1" t="str">
        <f t="shared" si="0"/>
        <v>May 2026</v>
      </c>
      <c r="F51" t="s">
        <v>86</v>
      </c>
      <c r="G51" t="s">
        <v>87</v>
      </c>
      <c r="H51" t="str">
        <f t="shared" si="1"/>
        <v>SRC-901 Jacksonville FL-TR-5021</v>
      </c>
      <c r="I51" t="s">
        <v>12</v>
      </c>
      <c r="J51">
        <v>75</v>
      </c>
      <c r="K51" t="s">
        <v>20</v>
      </c>
      <c r="L51" t="s">
        <v>21</v>
      </c>
      <c r="M51">
        <v>4500</v>
      </c>
      <c r="N51">
        <v>60</v>
      </c>
      <c r="O51">
        <v>58.5</v>
      </c>
    </row>
    <row r="52" spans="1:15" x14ac:dyDescent="0.25">
      <c r="A52" t="s">
        <v>11</v>
      </c>
      <c r="B52" t="s">
        <v>13</v>
      </c>
      <c r="C52" s="1">
        <v>46167</v>
      </c>
      <c r="D52" s="1">
        <v>46170</v>
      </c>
      <c r="E52" s="1" t="str">
        <f t="shared" si="0"/>
        <v>May 2026</v>
      </c>
      <c r="F52" t="s">
        <v>86</v>
      </c>
      <c r="G52" t="s">
        <v>87</v>
      </c>
      <c r="H52" t="str">
        <f t="shared" si="1"/>
        <v>SRC-901 Jacksonville FL-TR-5021</v>
      </c>
      <c r="I52" t="s">
        <v>12</v>
      </c>
      <c r="J52">
        <v>8</v>
      </c>
      <c r="K52" t="s">
        <v>22</v>
      </c>
      <c r="L52" t="s">
        <v>23</v>
      </c>
      <c r="M52" s="2">
        <v>440</v>
      </c>
      <c r="N52">
        <v>55</v>
      </c>
      <c r="O52">
        <v>53.2</v>
      </c>
    </row>
    <row r="53" spans="1:15" x14ac:dyDescent="0.25">
      <c r="A53" t="s">
        <v>11</v>
      </c>
      <c r="B53" t="s">
        <v>17</v>
      </c>
      <c r="C53" s="1">
        <v>46174</v>
      </c>
      <c r="D53" s="1">
        <v>46177</v>
      </c>
      <c r="E53" s="1" t="str">
        <f t="shared" si="0"/>
        <v>June 2026</v>
      </c>
      <c r="F53" t="s">
        <v>88</v>
      </c>
      <c r="G53" t="s">
        <v>89</v>
      </c>
      <c r="H53" t="str">
        <f t="shared" si="1"/>
        <v>SRC-901 Jacksonville FL-TR-5022</v>
      </c>
      <c r="I53" t="s">
        <v>12</v>
      </c>
      <c r="J53">
        <v>250</v>
      </c>
      <c r="K53" t="s">
        <v>20</v>
      </c>
      <c r="L53" t="s">
        <v>21</v>
      </c>
      <c r="M53">
        <v>15000</v>
      </c>
      <c r="N53">
        <v>60</v>
      </c>
      <c r="O53">
        <v>58.5</v>
      </c>
    </row>
    <row r="54" spans="1:15" x14ac:dyDescent="0.25">
      <c r="A54" t="s">
        <v>11</v>
      </c>
      <c r="B54" t="s">
        <v>17</v>
      </c>
      <c r="C54" s="1">
        <v>46174</v>
      </c>
      <c r="D54" s="1">
        <v>46177</v>
      </c>
      <c r="E54" s="1" t="str">
        <f t="shared" si="0"/>
        <v>June 2026</v>
      </c>
      <c r="F54" t="s">
        <v>88</v>
      </c>
      <c r="G54" t="s">
        <v>89</v>
      </c>
      <c r="H54" t="str">
        <f t="shared" si="1"/>
        <v>SRC-901 Jacksonville FL-TR-5022</v>
      </c>
      <c r="I54" t="s">
        <v>12</v>
      </c>
      <c r="J54">
        <v>30</v>
      </c>
      <c r="K54" t="s">
        <v>22</v>
      </c>
      <c r="L54" t="s">
        <v>23</v>
      </c>
      <c r="M54">
        <v>1650</v>
      </c>
      <c r="N54">
        <v>55</v>
      </c>
      <c r="O54">
        <v>53.2</v>
      </c>
    </row>
    <row r="55" spans="1:15" x14ac:dyDescent="0.25">
      <c r="A55" t="s">
        <v>11</v>
      </c>
      <c r="B55" t="s">
        <v>17</v>
      </c>
      <c r="C55" s="1">
        <v>46174</v>
      </c>
      <c r="D55" s="1">
        <v>46177</v>
      </c>
      <c r="E55" s="1" t="str">
        <f t="shared" si="0"/>
        <v>June 2026</v>
      </c>
      <c r="F55" t="s">
        <v>88</v>
      </c>
      <c r="G55" t="s">
        <v>89</v>
      </c>
      <c r="H55" t="str">
        <f t="shared" si="1"/>
        <v>SRC-901 Jacksonville FL-TR-5022</v>
      </c>
      <c r="I55" t="s">
        <v>12</v>
      </c>
      <c r="J55">
        <v>20</v>
      </c>
      <c r="K55" t="s">
        <v>24</v>
      </c>
      <c r="L55" t="s">
        <v>25</v>
      </c>
      <c r="M55" s="2">
        <v>1900</v>
      </c>
      <c r="N55">
        <v>95</v>
      </c>
      <c r="O55">
        <v>92.1</v>
      </c>
    </row>
    <row r="56" spans="1:15" x14ac:dyDescent="0.25">
      <c r="A56" t="s">
        <v>11</v>
      </c>
      <c r="B56" t="s">
        <v>17</v>
      </c>
      <c r="C56" s="1">
        <v>46174</v>
      </c>
      <c r="D56" s="1">
        <v>46177</v>
      </c>
      <c r="E56" s="1" t="str">
        <f t="shared" si="0"/>
        <v>June 2026</v>
      </c>
      <c r="F56" t="s">
        <v>88</v>
      </c>
      <c r="G56" t="s">
        <v>89</v>
      </c>
      <c r="H56" t="str">
        <f t="shared" si="1"/>
        <v>SRC-901 Jacksonville FL-TR-5022</v>
      </c>
      <c r="I56" t="s">
        <v>12</v>
      </c>
      <c r="J56">
        <v>8</v>
      </c>
      <c r="K56" t="s">
        <v>47</v>
      </c>
      <c r="L56" t="s">
        <v>48</v>
      </c>
      <c r="M56" s="2">
        <v>480</v>
      </c>
      <c r="N56">
        <v>60</v>
      </c>
      <c r="O56">
        <v>57.5</v>
      </c>
    </row>
    <row r="57" spans="1:15" x14ac:dyDescent="0.25">
      <c r="A57" t="s">
        <v>11</v>
      </c>
      <c r="B57" t="s">
        <v>17</v>
      </c>
      <c r="C57" s="1">
        <v>46174</v>
      </c>
      <c r="D57" s="1">
        <v>46177</v>
      </c>
      <c r="E57" s="1" t="str">
        <f t="shared" si="0"/>
        <v>June 2026</v>
      </c>
      <c r="F57" t="s">
        <v>88</v>
      </c>
      <c r="G57" t="s">
        <v>89</v>
      </c>
      <c r="H57" t="str">
        <f t="shared" si="1"/>
        <v>SRC-901 Jacksonville FL-TR-5022</v>
      </c>
      <c r="I57" t="s">
        <v>12</v>
      </c>
      <c r="J57">
        <v>12</v>
      </c>
      <c r="K57" t="s">
        <v>70</v>
      </c>
      <c r="L57" t="s">
        <v>71</v>
      </c>
      <c r="M57">
        <v>1440</v>
      </c>
      <c r="N57">
        <v>120</v>
      </c>
      <c r="O57">
        <v>114</v>
      </c>
    </row>
    <row r="58" spans="1:15" x14ac:dyDescent="0.25">
      <c r="A58" t="s">
        <v>11</v>
      </c>
      <c r="B58" t="s">
        <v>17</v>
      </c>
      <c r="C58" s="1">
        <v>46174</v>
      </c>
      <c r="D58" s="1">
        <v>46177</v>
      </c>
      <c r="E58" s="1" t="str">
        <f t="shared" si="0"/>
        <v>June 2026</v>
      </c>
      <c r="F58" t="s">
        <v>88</v>
      </c>
      <c r="G58" t="s">
        <v>89</v>
      </c>
      <c r="H58" t="str">
        <f t="shared" si="1"/>
        <v>SRC-901 Jacksonville FL-TR-5022</v>
      </c>
      <c r="I58" t="s">
        <v>12</v>
      </c>
      <c r="J58">
        <v>15</v>
      </c>
      <c r="K58" t="s">
        <v>68</v>
      </c>
      <c r="L58" t="s">
        <v>69</v>
      </c>
      <c r="M58">
        <v>540</v>
      </c>
      <c r="N58">
        <v>36</v>
      </c>
      <c r="O58">
        <v>34</v>
      </c>
    </row>
    <row r="59" spans="1:15" x14ac:dyDescent="0.25">
      <c r="A59" t="s">
        <v>11</v>
      </c>
      <c r="B59" t="s">
        <v>14</v>
      </c>
      <c r="C59" s="1">
        <v>46181</v>
      </c>
      <c r="D59" s="1">
        <v>46184</v>
      </c>
      <c r="E59" s="1" t="str">
        <f t="shared" si="0"/>
        <v>June 2026</v>
      </c>
      <c r="F59" t="s">
        <v>90</v>
      </c>
      <c r="G59" t="s">
        <v>91</v>
      </c>
      <c r="H59" t="str">
        <f t="shared" si="1"/>
        <v>SRC-901 Jacksonville FL-TR-5023</v>
      </c>
      <c r="I59" t="s">
        <v>12</v>
      </c>
      <c r="J59">
        <v>30</v>
      </c>
      <c r="K59" t="s">
        <v>28</v>
      </c>
      <c r="L59" t="s">
        <v>29</v>
      </c>
      <c r="M59">
        <v>12000</v>
      </c>
      <c r="N59">
        <v>400</v>
      </c>
      <c r="O59">
        <v>385</v>
      </c>
    </row>
    <row r="60" spans="1:15" x14ac:dyDescent="0.25">
      <c r="A60" t="s">
        <v>11</v>
      </c>
      <c r="B60" t="s">
        <v>14</v>
      </c>
      <c r="C60" s="1">
        <v>46181</v>
      </c>
      <c r="D60" s="1">
        <v>46184</v>
      </c>
      <c r="E60" s="1" t="str">
        <f t="shared" si="0"/>
        <v>June 2026</v>
      </c>
      <c r="F60" t="s">
        <v>90</v>
      </c>
      <c r="G60" t="s">
        <v>91</v>
      </c>
      <c r="H60" t="str">
        <f t="shared" si="1"/>
        <v>SRC-901 Jacksonville FL-TR-5023</v>
      </c>
      <c r="I60" t="s">
        <v>12</v>
      </c>
      <c r="J60">
        <v>8</v>
      </c>
      <c r="K60" t="s">
        <v>64</v>
      </c>
      <c r="L60" t="s">
        <v>65</v>
      </c>
      <c r="M60" s="2">
        <v>880</v>
      </c>
      <c r="N60">
        <v>110</v>
      </c>
      <c r="O60">
        <v>104.5</v>
      </c>
    </row>
    <row r="61" spans="1:15" x14ac:dyDescent="0.25">
      <c r="A61" t="s">
        <v>11</v>
      </c>
      <c r="B61" t="s">
        <v>13</v>
      </c>
      <c r="C61" s="1">
        <v>46188</v>
      </c>
      <c r="D61" s="1">
        <v>46191</v>
      </c>
      <c r="E61" s="1" t="str">
        <f t="shared" si="0"/>
        <v>June 2026</v>
      </c>
      <c r="F61" t="s">
        <v>92</v>
      </c>
      <c r="G61" t="s">
        <v>93</v>
      </c>
      <c r="H61" t="str">
        <f t="shared" si="1"/>
        <v>SRC-901 Jacksonville FL-TR-5024</v>
      </c>
      <c r="I61" t="s">
        <v>12</v>
      </c>
      <c r="J61">
        <v>100</v>
      </c>
      <c r="K61" t="s">
        <v>32</v>
      </c>
      <c r="L61" t="s">
        <v>33</v>
      </c>
      <c r="M61" s="2">
        <v>6000</v>
      </c>
      <c r="N61">
        <v>60</v>
      </c>
      <c r="O61">
        <v>59.1</v>
      </c>
    </row>
    <row r="62" spans="1:15" x14ac:dyDescent="0.25">
      <c r="A62" t="s">
        <v>11</v>
      </c>
      <c r="B62" t="s">
        <v>13</v>
      </c>
      <c r="C62" s="1">
        <v>46188</v>
      </c>
      <c r="D62" s="1">
        <v>46191</v>
      </c>
      <c r="E62" s="1" t="str">
        <f t="shared" si="0"/>
        <v>June 2026</v>
      </c>
      <c r="F62" t="s">
        <v>92</v>
      </c>
      <c r="G62" t="s">
        <v>93</v>
      </c>
      <c r="H62" t="str">
        <f t="shared" si="1"/>
        <v>SRC-901 Jacksonville FL-TR-5024</v>
      </c>
      <c r="I62" t="s">
        <v>12</v>
      </c>
      <c r="J62">
        <v>12</v>
      </c>
      <c r="K62" t="s">
        <v>34</v>
      </c>
      <c r="L62" t="s">
        <v>35</v>
      </c>
      <c r="M62" s="2">
        <v>660</v>
      </c>
      <c r="N62">
        <v>55</v>
      </c>
      <c r="O62">
        <v>53.5</v>
      </c>
    </row>
    <row r="63" spans="1:15" x14ac:dyDescent="0.25">
      <c r="A63" t="s">
        <v>11</v>
      </c>
      <c r="B63" t="s">
        <v>13</v>
      </c>
      <c r="C63" s="1">
        <v>46188</v>
      </c>
      <c r="D63" s="1">
        <v>46191</v>
      </c>
      <c r="E63" s="1" t="str">
        <f t="shared" si="0"/>
        <v>June 2026</v>
      </c>
      <c r="F63" t="s">
        <v>92</v>
      </c>
      <c r="G63" t="s">
        <v>93</v>
      </c>
      <c r="H63" t="str">
        <f t="shared" si="1"/>
        <v>SRC-901 Jacksonville FL-TR-5024</v>
      </c>
      <c r="I63" t="s">
        <v>12</v>
      </c>
      <c r="J63">
        <v>10</v>
      </c>
      <c r="K63" t="s">
        <v>24</v>
      </c>
      <c r="L63" t="s">
        <v>25</v>
      </c>
      <c r="M63">
        <v>950</v>
      </c>
      <c r="N63">
        <v>95</v>
      </c>
      <c r="O63">
        <v>92.1</v>
      </c>
    </row>
    <row r="64" spans="1:15" x14ac:dyDescent="0.25">
      <c r="A64" t="s">
        <v>11</v>
      </c>
      <c r="B64" t="s">
        <v>17</v>
      </c>
      <c r="C64" s="1">
        <v>46195</v>
      </c>
      <c r="D64" s="1">
        <v>46198</v>
      </c>
      <c r="E64" s="1" t="str">
        <f t="shared" si="0"/>
        <v>June 2026</v>
      </c>
      <c r="F64" t="s">
        <v>94</v>
      </c>
      <c r="G64" t="s">
        <v>95</v>
      </c>
      <c r="H64" t="str">
        <f t="shared" si="1"/>
        <v>SRC-901 Jacksonville FL-TR-5025</v>
      </c>
      <c r="I64" t="s">
        <v>12</v>
      </c>
      <c r="J64">
        <v>180</v>
      </c>
      <c r="K64" t="s">
        <v>20</v>
      </c>
      <c r="L64" t="s">
        <v>21</v>
      </c>
      <c r="M64">
        <v>10800</v>
      </c>
      <c r="N64">
        <v>60</v>
      </c>
      <c r="O64">
        <v>58.5</v>
      </c>
    </row>
    <row r="65" spans="1:15" x14ac:dyDescent="0.25">
      <c r="A65" t="s">
        <v>11</v>
      </c>
      <c r="B65" t="s">
        <v>17</v>
      </c>
      <c r="C65" s="1">
        <v>46195</v>
      </c>
      <c r="D65" s="1">
        <v>46198</v>
      </c>
      <c r="E65" s="1" t="str">
        <f t="shared" si="0"/>
        <v>June 2026</v>
      </c>
      <c r="F65" t="s">
        <v>94</v>
      </c>
      <c r="G65" t="s">
        <v>95</v>
      </c>
      <c r="H65" t="str">
        <f t="shared" si="1"/>
        <v>SRC-901 Jacksonville FL-TR-5025</v>
      </c>
      <c r="I65" t="s">
        <v>12</v>
      </c>
      <c r="J65">
        <v>22</v>
      </c>
      <c r="K65" t="s">
        <v>22</v>
      </c>
      <c r="L65" t="s">
        <v>23</v>
      </c>
      <c r="M65" s="2">
        <v>1210</v>
      </c>
      <c r="N65">
        <v>55</v>
      </c>
      <c r="O65">
        <v>53.2</v>
      </c>
    </row>
    <row r="66" spans="1:15" x14ac:dyDescent="0.25">
      <c r="A66" t="s">
        <v>11</v>
      </c>
      <c r="B66" t="s">
        <v>17</v>
      </c>
      <c r="C66" s="1">
        <v>46195</v>
      </c>
      <c r="D66" s="1">
        <v>46198</v>
      </c>
      <c r="E66" s="1" t="str">
        <f t="shared" si="0"/>
        <v>June 2026</v>
      </c>
      <c r="F66" t="s">
        <v>94</v>
      </c>
      <c r="G66" t="s">
        <v>95</v>
      </c>
      <c r="H66" t="str">
        <f t="shared" si="1"/>
        <v>SRC-901 Jacksonville FL-TR-5025</v>
      </c>
      <c r="I66" t="s">
        <v>12</v>
      </c>
      <c r="J66">
        <v>14</v>
      </c>
      <c r="K66" t="s">
        <v>24</v>
      </c>
      <c r="L66" t="s">
        <v>25</v>
      </c>
      <c r="M66">
        <v>1330</v>
      </c>
      <c r="N66">
        <v>95</v>
      </c>
      <c r="O66">
        <v>92.1</v>
      </c>
    </row>
    <row r="67" spans="1:15" x14ac:dyDescent="0.25">
      <c r="A67" t="s">
        <v>11</v>
      </c>
      <c r="B67" t="s">
        <v>36</v>
      </c>
      <c r="C67" s="1">
        <v>46202</v>
      </c>
      <c r="D67" s="1">
        <v>46205</v>
      </c>
      <c r="E67" s="1" t="str">
        <f t="shared" ref="E67:E130" si="2">TEXT(C67, "MMMM YYYY")</f>
        <v>June 2026</v>
      </c>
      <c r="F67" t="s">
        <v>96</v>
      </c>
      <c r="G67" t="s">
        <v>97</v>
      </c>
      <c r="H67" t="str">
        <f t="shared" si="1"/>
        <v>SRC-901 Jacksonville FL-TR-5026</v>
      </c>
      <c r="I67" t="s">
        <v>12</v>
      </c>
      <c r="J67">
        <v>50</v>
      </c>
      <c r="K67" t="s">
        <v>45</v>
      </c>
      <c r="L67" t="s">
        <v>46</v>
      </c>
      <c r="M67" s="2">
        <v>2500</v>
      </c>
      <c r="N67">
        <v>50</v>
      </c>
      <c r="O67">
        <v>48</v>
      </c>
    </row>
    <row r="68" spans="1:15" x14ac:dyDescent="0.25">
      <c r="A68" t="s">
        <v>11</v>
      </c>
      <c r="B68" t="s">
        <v>36</v>
      </c>
      <c r="C68" s="1">
        <v>46202</v>
      </c>
      <c r="D68" s="1">
        <v>46205</v>
      </c>
      <c r="E68" s="1" t="str">
        <f t="shared" si="2"/>
        <v>June 2026</v>
      </c>
      <c r="F68" t="s">
        <v>96</v>
      </c>
      <c r="G68" t="s">
        <v>97</v>
      </c>
      <c r="H68" t="str">
        <f t="shared" ref="H68:H131" si="3">A68&amp;"-"&amp;F68</f>
        <v>SRC-901 Jacksonville FL-TR-5026</v>
      </c>
      <c r="I68" t="s">
        <v>12</v>
      </c>
      <c r="J68">
        <v>6</v>
      </c>
      <c r="K68" t="s">
        <v>47</v>
      </c>
      <c r="L68" t="s">
        <v>48</v>
      </c>
      <c r="M68" s="2">
        <v>360</v>
      </c>
      <c r="N68">
        <v>60</v>
      </c>
      <c r="O68">
        <v>57.5</v>
      </c>
    </row>
    <row r="69" spans="1:15" x14ac:dyDescent="0.25">
      <c r="A69" t="s">
        <v>11</v>
      </c>
      <c r="B69" t="s">
        <v>13</v>
      </c>
      <c r="C69" s="1">
        <v>46209</v>
      </c>
      <c r="D69" s="1">
        <v>46212</v>
      </c>
      <c r="E69" s="1" t="str">
        <f t="shared" si="2"/>
        <v>July 2026</v>
      </c>
      <c r="F69" t="s">
        <v>98</v>
      </c>
      <c r="G69" t="s">
        <v>99</v>
      </c>
      <c r="H69" t="str">
        <f t="shared" si="3"/>
        <v>SRC-901 Jacksonville FL-TR-5027</v>
      </c>
      <c r="I69" t="s">
        <v>12</v>
      </c>
      <c r="J69">
        <v>85</v>
      </c>
      <c r="K69" t="s">
        <v>20</v>
      </c>
      <c r="L69" t="s">
        <v>21</v>
      </c>
      <c r="M69" s="2">
        <v>5100</v>
      </c>
      <c r="N69">
        <v>60</v>
      </c>
      <c r="O69">
        <v>58.5</v>
      </c>
    </row>
    <row r="70" spans="1:15" x14ac:dyDescent="0.25">
      <c r="A70" t="s">
        <v>11</v>
      </c>
      <c r="B70" t="s">
        <v>13</v>
      </c>
      <c r="C70" s="1">
        <v>46209</v>
      </c>
      <c r="D70" s="1">
        <v>46212</v>
      </c>
      <c r="E70" s="1" t="str">
        <f t="shared" si="2"/>
        <v>July 2026</v>
      </c>
      <c r="F70" t="s">
        <v>98</v>
      </c>
      <c r="G70" t="s">
        <v>99</v>
      </c>
      <c r="H70" t="str">
        <f t="shared" si="3"/>
        <v>SRC-901 Jacksonville FL-TR-5027</v>
      </c>
      <c r="I70" t="s">
        <v>12</v>
      </c>
      <c r="J70">
        <v>10</v>
      </c>
      <c r="K70" t="s">
        <v>22</v>
      </c>
      <c r="L70" t="s">
        <v>23</v>
      </c>
      <c r="M70">
        <v>550</v>
      </c>
      <c r="N70">
        <v>55</v>
      </c>
      <c r="O70">
        <v>53.2</v>
      </c>
    </row>
    <row r="71" spans="1:15" x14ac:dyDescent="0.25">
      <c r="A71" t="s">
        <v>11</v>
      </c>
      <c r="B71" t="s">
        <v>17</v>
      </c>
      <c r="C71" s="1">
        <v>46216</v>
      </c>
      <c r="D71" s="1">
        <v>46219</v>
      </c>
      <c r="E71" s="1" t="str">
        <f t="shared" si="2"/>
        <v>July 2026</v>
      </c>
      <c r="F71" t="s">
        <v>100</v>
      </c>
      <c r="G71" t="s">
        <v>101</v>
      </c>
      <c r="H71" t="str">
        <f t="shared" si="3"/>
        <v>SRC-901 Jacksonville FL-TR-5028</v>
      </c>
      <c r="I71" t="s">
        <v>12</v>
      </c>
      <c r="J71">
        <v>220</v>
      </c>
      <c r="K71" t="s">
        <v>32</v>
      </c>
      <c r="L71" t="s">
        <v>33</v>
      </c>
      <c r="M71">
        <v>13200</v>
      </c>
      <c r="N71">
        <v>60</v>
      </c>
      <c r="O71">
        <v>59.1</v>
      </c>
    </row>
    <row r="72" spans="1:15" x14ac:dyDescent="0.25">
      <c r="A72" t="s">
        <v>11</v>
      </c>
      <c r="B72" t="s">
        <v>17</v>
      </c>
      <c r="C72" s="1">
        <v>46216</v>
      </c>
      <c r="D72" s="1">
        <v>46219</v>
      </c>
      <c r="E72" s="1" t="str">
        <f t="shared" si="2"/>
        <v>July 2026</v>
      </c>
      <c r="F72" t="s">
        <v>100</v>
      </c>
      <c r="G72" t="s">
        <v>101</v>
      </c>
      <c r="H72" t="str">
        <f t="shared" si="3"/>
        <v>SRC-901 Jacksonville FL-TR-5028</v>
      </c>
      <c r="I72" t="s">
        <v>12</v>
      </c>
      <c r="J72">
        <v>26</v>
      </c>
      <c r="K72" t="s">
        <v>34</v>
      </c>
      <c r="L72" t="s">
        <v>35</v>
      </c>
      <c r="M72" s="2">
        <v>1430</v>
      </c>
      <c r="N72">
        <v>55</v>
      </c>
      <c r="O72">
        <v>53.5</v>
      </c>
    </row>
    <row r="73" spans="1:15" x14ac:dyDescent="0.25">
      <c r="A73" t="s">
        <v>11</v>
      </c>
      <c r="B73" t="s">
        <v>17</v>
      </c>
      <c r="C73" s="1">
        <v>46216</v>
      </c>
      <c r="D73" s="1">
        <v>46219</v>
      </c>
      <c r="E73" s="1" t="str">
        <f t="shared" si="2"/>
        <v>July 2026</v>
      </c>
      <c r="F73" t="s">
        <v>100</v>
      </c>
      <c r="G73" t="s">
        <v>101</v>
      </c>
      <c r="H73" t="str">
        <f t="shared" si="3"/>
        <v>SRC-901 Jacksonville FL-TR-5028</v>
      </c>
      <c r="I73" t="s">
        <v>12</v>
      </c>
      <c r="J73">
        <v>18</v>
      </c>
      <c r="K73" t="s">
        <v>24</v>
      </c>
      <c r="L73" t="s">
        <v>25</v>
      </c>
      <c r="M73" s="2">
        <v>1710</v>
      </c>
      <c r="N73">
        <v>95</v>
      </c>
      <c r="O73">
        <v>92.1</v>
      </c>
    </row>
    <row r="74" spans="1:15" x14ac:dyDescent="0.25">
      <c r="A74" t="s">
        <v>11</v>
      </c>
      <c r="B74" t="s">
        <v>17</v>
      </c>
      <c r="C74" s="1">
        <v>46216</v>
      </c>
      <c r="D74" s="1">
        <v>46219</v>
      </c>
      <c r="E74" s="1" t="str">
        <f t="shared" si="2"/>
        <v>July 2026</v>
      </c>
      <c r="F74" t="s">
        <v>100</v>
      </c>
      <c r="G74" t="s">
        <v>101</v>
      </c>
      <c r="H74" t="str">
        <f t="shared" si="3"/>
        <v>SRC-901 Jacksonville FL-TR-5028</v>
      </c>
      <c r="I74" t="s">
        <v>12</v>
      </c>
      <c r="J74">
        <v>7</v>
      </c>
      <c r="K74" t="s">
        <v>47</v>
      </c>
      <c r="L74" t="s">
        <v>48</v>
      </c>
      <c r="M74" s="2">
        <v>420</v>
      </c>
      <c r="N74">
        <v>60</v>
      </c>
      <c r="O74">
        <v>57.5</v>
      </c>
    </row>
    <row r="75" spans="1:15" x14ac:dyDescent="0.25">
      <c r="A75" t="s">
        <v>11</v>
      </c>
      <c r="B75" t="s">
        <v>49</v>
      </c>
      <c r="C75" s="1">
        <v>46223</v>
      </c>
      <c r="D75" s="1">
        <v>46226</v>
      </c>
      <c r="E75" s="1" t="str">
        <f t="shared" si="2"/>
        <v>July 2026</v>
      </c>
      <c r="F75" t="s">
        <v>102</v>
      </c>
      <c r="G75" t="s">
        <v>103</v>
      </c>
      <c r="H75" t="str">
        <f t="shared" si="3"/>
        <v>SRC-901 Jacksonville FL-TR-5029</v>
      </c>
      <c r="I75" t="s">
        <v>12</v>
      </c>
      <c r="J75">
        <v>10</v>
      </c>
      <c r="K75" t="s">
        <v>28</v>
      </c>
      <c r="L75" t="s">
        <v>29</v>
      </c>
      <c r="M75">
        <v>4000</v>
      </c>
      <c r="N75">
        <v>400</v>
      </c>
      <c r="O75">
        <v>385</v>
      </c>
    </row>
    <row r="76" spans="1:15" x14ac:dyDescent="0.25">
      <c r="A76" t="s">
        <v>11</v>
      </c>
      <c r="B76" t="s">
        <v>13</v>
      </c>
      <c r="C76" s="1">
        <v>46230</v>
      </c>
      <c r="D76" s="1">
        <v>46233</v>
      </c>
      <c r="E76" s="1" t="str">
        <f t="shared" si="2"/>
        <v>July 2026</v>
      </c>
      <c r="F76" t="s">
        <v>104</v>
      </c>
      <c r="G76" t="s">
        <v>105</v>
      </c>
      <c r="H76" t="str">
        <f t="shared" si="3"/>
        <v>SRC-901 Jacksonville FL-TR-5030</v>
      </c>
      <c r="I76" t="s">
        <v>12</v>
      </c>
      <c r="J76">
        <v>115</v>
      </c>
      <c r="K76" t="s">
        <v>20</v>
      </c>
      <c r="L76" t="s">
        <v>21</v>
      </c>
      <c r="M76">
        <v>6900</v>
      </c>
      <c r="N76">
        <v>60</v>
      </c>
      <c r="O76">
        <v>58.5</v>
      </c>
    </row>
    <row r="77" spans="1:15" x14ac:dyDescent="0.25">
      <c r="A77" t="s">
        <v>11</v>
      </c>
      <c r="B77" t="s">
        <v>13</v>
      </c>
      <c r="C77" s="1">
        <v>46230</v>
      </c>
      <c r="D77" s="1">
        <v>46233</v>
      </c>
      <c r="E77" s="1" t="str">
        <f t="shared" si="2"/>
        <v>July 2026</v>
      </c>
      <c r="F77" t="s">
        <v>104</v>
      </c>
      <c r="G77" t="s">
        <v>105</v>
      </c>
      <c r="H77" t="str">
        <f t="shared" si="3"/>
        <v>SRC-901 Jacksonville FL-TR-5030</v>
      </c>
      <c r="I77" t="s">
        <v>12</v>
      </c>
      <c r="J77">
        <v>14</v>
      </c>
      <c r="K77" t="s">
        <v>22</v>
      </c>
      <c r="L77" t="s">
        <v>23</v>
      </c>
      <c r="M77">
        <v>770</v>
      </c>
      <c r="N77">
        <v>55</v>
      </c>
      <c r="O77">
        <v>53.2</v>
      </c>
    </row>
    <row r="78" spans="1:15" x14ac:dyDescent="0.25">
      <c r="A78" t="s">
        <v>11</v>
      </c>
      <c r="B78" t="s">
        <v>13</v>
      </c>
      <c r="C78" s="1">
        <v>46230</v>
      </c>
      <c r="D78" s="1">
        <v>46233</v>
      </c>
      <c r="E78" s="1" t="str">
        <f t="shared" si="2"/>
        <v>July 2026</v>
      </c>
      <c r="F78" t="s">
        <v>104</v>
      </c>
      <c r="G78" t="s">
        <v>105</v>
      </c>
      <c r="H78" t="str">
        <f t="shared" si="3"/>
        <v>SRC-901 Jacksonville FL-TR-5030</v>
      </c>
      <c r="I78" t="s">
        <v>12</v>
      </c>
      <c r="J78">
        <v>10</v>
      </c>
      <c r="K78" t="s">
        <v>24</v>
      </c>
      <c r="L78" t="s">
        <v>25</v>
      </c>
      <c r="M78" s="2">
        <v>950</v>
      </c>
      <c r="N78">
        <v>95</v>
      </c>
      <c r="O78">
        <v>92.1</v>
      </c>
    </row>
    <row r="79" spans="1:15" x14ac:dyDescent="0.25">
      <c r="A79" t="s">
        <v>11</v>
      </c>
      <c r="B79" t="s">
        <v>17</v>
      </c>
      <c r="C79" s="1">
        <v>46237</v>
      </c>
      <c r="D79" s="1">
        <v>46240</v>
      </c>
      <c r="E79" s="1" t="str">
        <f t="shared" si="2"/>
        <v>August 2026</v>
      </c>
      <c r="F79" t="s">
        <v>106</v>
      </c>
      <c r="G79" t="s">
        <v>107</v>
      </c>
      <c r="H79" t="str">
        <f t="shared" si="3"/>
        <v>SRC-901 Jacksonville FL-TR-5031</v>
      </c>
      <c r="I79" t="s">
        <v>12</v>
      </c>
      <c r="J79">
        <v>190</v>
      </c>
      <c r="K79" t="s">
        <v>45</v>
      </c>
      <c r="L79" t="s">
        <v>46</v>
      </c>
      <c r="M79">
        <v>9500</v>
      </c>
      <c r="N79">
        <v>50</v>
      </c>
      <c r="O79">
        <v>48</v>
      </c>
    </row>
    <row r="80" spans="1:15" x14ac:dyDescent="0.25">
      <c r="A80" t="s">
        <v>11</v>
      </c>
      <c r="B80" t="s">
        <v>17</v>
      </c>
      <c r="C80" s="1">
        <v>46237</v>
      </c>
      <c r="D80" s="1">
        <v>46240</v>
      </c>
      <c r="E80" s="1" t="str">
        <f t="shared" si="2"/>
        <v>August 2026</v>
      </c>
      <c r="F80" t="s">
        <v>106</v>
      </c>
      <c r="G80" t="s">
        <v>107</v>
      </c>
      <c r="H80" t="str">
        <f t="shared" si="3"/>
        <v>SRC-901 Jacksonville FL-TR-5031</v>
      </c>
      <c r="I80" t="s">
        <v>12</v>
      </c>
      <c r="J80">
        <v>6</v>
      </c>
      <c r="K80" t="s">
        <v>47</v>
      </c>
      <c r="L80" t="s">
        <v>48</v>
      </c>
      <c r="M80">
        <v>360</v>
      </c>
      <c r="N80">
        <v>60</v>
      </c>
      <c r="O80">
        <v>57.5</v>
      </c>
    </row>
    <row r="81" spans="1:15" x14ac:dyDescent="0.25">
      <c r="A81" t="s">
        <v>11</v>
      </c>
      <c r="B81" t="s">
        <v>17</v>
      </c>
      <c r="C81" s="1">
        <v>46237</v>
      </c>
      <c r="D81" s="1">
        <v>46240</v>
      </c>
      <c r="E81" s="1" t="str">
        <f t="shared" si="2"/>
        <v>August 2026</v>
      </c>
      <c r="F81" t="s">
        <v>106</v>
      </c>
      <c r="G81" t="s">
        <v>107</v>
      </c>
      <c r="H81" t="str">
        <f t="shared" si="3"/>
        <v>SRC-901 Jacksonville FL-TR-5031</v>
      </c>
      <c r="I81" t="s">
        <v>12</v>
      </c>
      <c r="J81">
        <v>10</v>
      </c>
      <c r="K81" t="s">
        <v>68</v>
      </c>
      <c r="L81" t="s">
        <v>69</v>
      </c>
      <c r="M81">
        <v>360</v>
      </c>
      <c r="N81">
        <v>36</v>
      </c>
      <c r="O81">
        <v>34</v>
      </c>
    </row>
    <row r="82" spans="1:15" x14ac:dyDescent="0.25">
      <c r="A82" t="s">
        <v>11</v>
      </c>
      <c r="B82" t="s">
        <v>36</v>
      </c>
      <c r="C82" s="1">
        <v>46244</v>
      </c>
      <c r="D82" s="1">
        <v>46247</v>
      </c>
      <c r="E82" s="1" t="str">
        <f t="shared" si="2"/>
        <v>August 2026</v>
      </c>
      <c r="F82" t="s">
        <v>108</v>
      </c>
      <c r="G82" t="s">
        <v>109</v>
      </c>
      <c r="H82" t="str">
        <f t="shared" si="3"/>
        <v>SRC-901 Jacksonville FL-TR-5032</v>
      </c>
      <c r="I82" t="s">
        <v>12</v>
      </c>
      <c r="J82">
        <v>25</v>
      </c>
      <c r="K82" t="s">
        <v>24</v>
      </c>
      <c r="L82" t="s">
        <v>25</v>
      </c>
      <c r="M82">
        <v>2375</v>
      </c>
      <c r="N82">
        <v>95</v>
      </c>
      <c r="O82">
        <v>92.1</v>
      </c>
    </row>
    <row r="83" spans="1:15" x14ac:dyDescent="0.25">
      <c r="A83" t="s">
        <v>11</v>
      </c>
      <c r="B83" t="s">
        <v>36</v>
      </c>
      <c r="C83" s="1">
        <v>46244</v>
      </c>
      <c r="D83" s="1">
        <v>46247</v>
      </c>
      <c r="E83" s="1" t="str">
        <f t="shared" si="2"/>
        <v>August 2026</v>
      </c>
      <c r="F83" t="s">
        <v>108</v>
      </c>
      <c r="G83" t="s">
        <v>109</v>
      </c>
      <c r="H83" t="str">
        <f t="shared" si="3"/>
        <v>SRC-901 Jacksonville FL-TR-5032</v>
      </c>
      <c r="I83" t="s">
        <v>12</v>
      </c>
      <c r="J83">
        <v>12</v>
      </c>
      <c r="K83" t="s">
        <v>39</v>
      </c>
      <c r="L83" t="s">
        <v>40</v>
      </c>
      <c r="M83">
        <v>180</v>
      </c>
      <c r="N83">
        <v>15</v>
      </c>
      <c r="O83">
        <v>14.2</v>
      </c>
    </row>
    <row r="84" spans="1:15" x14ac:dyDescent="0.25">
      <c r="A84" t="s">
        <v>11</v>
      </c>
      <c r="B84" t="s">
        <v>17</v>
      </c>
      <c r="C84" s="1">
        <v>46251</v>
      </c>
      <c r="D84" s="1">
        <v>46254</v>
      </c>
      <c r="E84" s="1" t="str">
        <f t="shared" si="2"/>
        <v>August 2026</v>
      </c>
      <c r="F84" t="s">
        <v>110</v>
      </c>
      <c r="G84" t="s">
        <v>111</v>
      </c>
      <c r="H84" t="str">
        <f t="shared" si="3"/>
        <v>SRC-901 Jacksonville FL-TR-5033</v>
      </c>
      <c r="I84" t="s">
        <v>12</v>
      </c>
      <c r="J84">
        <v>160</v>
      </c>
      <c r="K84" t="s">
        <v>20</v>
      </c>
      <c r="L84" t="s">
        <v>21</v>
      </c>
      <c r="M84" s="2">
        <v>9600</v>
      </c>
      <c r="N84">
        <v>60</v>
      </c>
      <c r="O84">
        <v>58.5</v>
      </c>
    </row>
    <row r="85" spans="1:15" x14ac:dyDescent="0.25">
      <c r="A85" t="s">
        <v>11</v>
      </c>
      <c r="B85" t="s">
        <v>17</v>
      </c>
      <c r="C85" s="1">
        <v>46251</v>
      </c>
      <c r="D85" s="1">
        <v>46254</v>
      </c>
      <c r="E85" s="1" t="str">
        <f t="shared" si="2"/>
        <v>August 2026</v>
      </c>
      <c r="F85" t="s">
        <v>110</v>
      </c>
      <c r="G85" t="s">
        <v>111</v>
      </c>
      <c r="H85" t="str">
        <f t="shared" si="3"/>
        <v>SRC-901 Jacksonville FL-TR-5033</v>
      </c>
      <c r="I85" t="s">
        <v>12</v>
      </c>
      <c r="J85">
        <v>18</v>
      </c>
      <c r="K85" t="s">
        <v>22</v>
      </c>
      <c r="L85" t="s">
        <v>23</v>
      </c>
      <c r="M85">
        <v>990</v>
      </c>
      <c r="N85">
        <v>55</v>
      </c>
      <c r="O85">
        <v>53.2</v>
      </c>
    </row>
    <row r="86" spans="1:15" x14ac:dyDescent="0.25">
      <c r="A86" t="s">
        <v>11</v>
      </c>
      <c r="B86" t="s">
        <v>17</v>
      </c>
      <c r="C86" s="1">
        <v>46251</v>
      </c>
      <c r="D86" s="1">
        <v>46254</v>
      </c>
      <c r="E86" s="1" t="str">
        <f t="shared" si="2"/>
        <v>August 2026</v>
      </c>
      <c r="F86" t="s">
        <v>110</v>
      </c>
      <c r="G86" t="s">
        <v>111</v>
      </c>
      <c r="H86" t="str">
        <f t="shared" si="3"/>
        <v>SRC-901 Jacksonville FL-TR-5033</v>
      </c>
      <c r="I86" t="s">
        <v>12</v>
      </c>
      <c r="J86">
        <v>12</v>
      </c>
      <c r="K86" t="s">
        <v>24</v>
      </c>
      <c r="L86" t="s">
        <v>25</v>
      </c>
      <c r="M86">
        <v>1140</v>
      </c>
      <c r="N86">
        <v>95</v>
      </c>
      <c r="O86">
        <v>92.1</v>
      </c>
    </row>
    <row r="87" spans="1:15" x14ac:dyDescent="0.25">
      <c r="A87" t="s">
        <v>11</v>
      </c>
      <c r="B87" t="s">
        <v>13</v>
      </c>
      <c r="C87" s="1">
        <v>46258</v>
      </c>
      <c r="D87" s="1">
        <v>46261</v>
      </c>
      <c r="E87" s="1" t="str">
        <f t="shared" si="2"/>
        <v>August 2026</v>
      </c>
      <c r="F87" t="s">
        <v>112</v>
      </c>
      <c r="G87" t="s">
        <v>113</v>
      </c>
      <c r="H87" t="str">
        <f t="shared" si="3"/>
        <v>SRC-901 Jacksonville FL-TR-5034</v>
      </c>
      <c r="I87" t="s">
        <v>12</v>
      </c>
      <c r="J87">
        <v>140</v>
      </c>
      <c r="K87" t="s">
        <v>32</v>
      </c>
      <c r="L87" t="s">
        <v>33</v>
      </c>
      <c r="M87">
        <v>8400</v>
      </c>
      <c r="N87">
        <v>60</v>
      </c>
      <c r="O87">
        <v>59.1</v>
      </c>
    </row>
    <row r="88" spans="1:15" x14ac:dyDescent="0.25">
      <c r="A88" t="s">
        <v>11</v>
      </c>
      <c r="B88" t="s">
        <v>13</v>
      </c>
      <c r="C88" s="1">
        <v>46258</v>
      </c>
      <c r="D88" s="1">
        <v>46261</v>
      </c>
      <c r="E88" s="1" t="str">
        <f t="shared" si="2"/>
        <v>August 2026</v>
      </c>
      <c r="F88" t="s">
        <v>112</v>
      </c>
      <c r="G88" t="s">
        <v>113</v>
      </c>
      <c r="H88" t="str">
        <f t="shared" si="3"/>
        <v>SRC-901 Jacksonville FL-TR-5034</v>
      </c>
      <c r="I88" t="s">
        <v>12</v>
      </c>
      <c r="J88">
        <v>16</v>
      </c>
      <c r="K88" t="s">
        <v>34</v>
      </c>
      <c r="L88" t="s">
        <v>35</v>
      </c>
      <c r="M88">
        <v>880</v>
      </c>
      <c r="N88">
        <v>55</v>
      </c>
      <c r="O88">
        <v>53.5</v>
      </c>
    </row>
    <row r="89" spans="1:15" x14ac:dyDescent="0.25">
      <c r="A89" t="s">
        <v>11</v>
      </c>
      <c r="B89" t="s">
        <v>17</v>
      </c>
      <c r="C89" s="1">
        <v>46265</v>
      </c>
      <c r="D89" s="1">
        <v>46268</v>
      </c>
      <c r="E89" s="1" t="str">
        <f t="shared" si="2"/>
        <v>August 2026</v>
      </c>
      <c r="F89" t="s">
        <v>114</v>
      </c>
      <c r="G89" t="s">
        <v>115</v>
      </c>
      <c r="H89" t="str">
        <f t="shared" si="3"/>
        <v>SRC-901 Jacksonville FL-TR-5035</v>
      </c>
      <c r="I89" t="s">
        <v>12</v>
      </c>
      <c r="J89">
        <v>280</v>
      </c>
      <c r="K89" t="s">
        <v>20</v>
      </c>
      <c r="L89" t="s">
        <v>21</v>
      </c>
      <c r="M89">
        <v>16800</v>
      </c>
      <c r="N89">
        <v>60</v>
      </c>
      <c r="O89">
        <v>58.5</v>
      </c>
    </row>
    <row r="90" spans="1:15" x14ac:dyDescent="0.25">
      <c r="A90" t="s">
        <v>11</v>
      </c>
      <c r="B90" t="s">
        <v>17</v>
      </c>
      <c r="C90" s="1">
        <v>46265</v>
      </c>
      <c r="D90" s="1">
        <v>46268</v>
      </c>
      <c r="E90" s="1" t="str">
        <f t="shared" si="2"/>
        <v>August 2026</v>
      </c>
      <c r="F90" t="s">
        <v>114</v>
      </c>
      <c r="G90" t="s">
        <v>115</v>
      </c>
      <c r="H90" t="str">
        <f t="shared" si="3"/>
        <v>SRC-901 Jacksonville FL-TR-5035</v>
      </c>
      <c r="I90" t="s">
        <v>12</v>
      </c>
      <c r="J90">
        <v>32</v>
      </c>
      <c r="K90" t="s">
        <v>22</v>
      </c>
      <c r="L90" t="s">
        <v>23</v>
      </c>
      <c r="M90">
        <v>1760</v>
      </c>
      <c r="N90">
        <v>55</v>
      </c>
      <c r="O90">
        <v>53.2</v>
      </c>
    </row>
    <row r="91" spans="1:15" x14ac:dyDescent="0.25">
      <c r="A91" t="s">
        <v>11</v>
      </c>
      <c r="B91" t="s">
        <v>17</v>
      </c>
      <c r="C91" s="1">
        <v>46265</v>
      </c>
      <c r="D91" s="1">
        <v>46268</v>
      </c>
      <c r="E91" s="1" t="str">
        <f t="shared" si="2"/>
        <v>August 2026</v>
      </c>
      <c r="F91" t="s">
        <v>114</v>
      </c>
      <c r="G91" t="s">
        <v>115</v>
      </c>
      <c r="H91" t="str">
        <f t="shared" si="3"/>
        <v>SRC-901 Jacksonville FL-TR-5035</v>
      </c>
      <c r="I91" t="s">
        <v>12</v>
      </c>
      <c r="J91">
        <v>22</v>
      </c>
      <c r="K91" t="s">
        <v>24</v>
      </c>
      <c r="L91" t="s">
        <v>25</v>
      </c>
      <c r="M91">
        <v>2090</v>
      </c>
      <c r="N91">
        <v>95</v>
      </c>
      <c r="O91">
        <v>92.1</v>
      </c>
    </row>
    <row r="92" spans="1:15" x14ac:dyDescent="0.25">
      <c r="A92" t="s">
        <v>11</v>
      </c>
      <c r="B92" t="s">
        <v>17</v>
      </c>
      <c r="C92" s="1">
        <v>46265</v>
      </c>
      <c r="D92" s="1">
        <v>46268</v>
      </c>
      <c r="E92" s="1" t="str">
        <f t="shared" si="2"/>
        <v>August 2026</v>
      </c>
      <c r="F92" t="s">
        <v>114</v>
      </c>
      <c r="G92" t="s">
        <v>115</v>
      </c>
      <c r="H92" t="str">
        <f t="shared" si="3"/>
        <v>SRC-901 Jacksonville FL-TR-5035</v>
      </c>
      <c r="I92" t="s">
        <v>12</v>
      </c>
      <c r="J92">
        <v>9</v>
      </c>
      <c r="K92" t="s">
        <v>47</v>
      </c>
      <c r="L92" t="s">
        <v>48</v>
      </c>
      <c r="M92" s="2">
        <v>540</v>
      </c>
      <c r="N92">
        <v>60</v>
      </c>
      <c r="O92">
        <v>57.5</v>
      </c>
    </row>
    <row r="93" spans="1:15" x14ac:dyDescent="0.25">
      <c r="A93" t="s">
        <v>11</v>
      </c>
      <c r="B93" t="s">
        <v>17</v>
      </c>
      <c r="C93" s="1">
        <v>46265</v>
      </c>
      <c r="D93" s="1">
        <v>46268</v>
      </c>
      <c r="E93" s="1" t="str">
        <f t="shared" si="2"/>
        <v>August 2026</v>
      </c>
      <c r="F93" t="s">
        <v>114</v>
      </c>
      <c r="G93" t="s">
        <v>115</v>
      </c>
      <c r="H93" t="str">
        <f t="shared" si="3"/>
        <v>SRC-901 Jacksonville FL-TR-5035</v>
      </c>
      <c r="I93" t="s">
        <v>12</v>
      </c>
      <c r="J93">
        <v>14</v>
      </c>
      <c r="K93" t="s">
        <v>70</v>
      </c>
      <c r="L93" t="s">
        <v>71</v>
      </c>
      <c r="M93">
        <v>1680</v>
      </c>
      <c r="N93">
        <v>120</v>
      </c>
      <c r="O93">
        <v>114</v>
      </c>
    </row>
    <row r="94" spans="1:15" x14ac:dyDescent="0.25">
      <c r="A94" t="s">
        <v>11</v>
      </c>
      <c r="B94" t="s">
        <v>14</v>
      </c>
      <c r="C94" s="1">
        <v>46272</v>
      </c>
      <c r="D94" s="1">
        <v>46275</v>
      </c>
      <c r="E94" s="1" t="str">
        <f t="shared" si="2"/>
        <v>September 2026</v>
      </c>
      <c r="F94" t="s">
        <v>116</v>
      </c>
      <c r="G94" t="s">
        <v>117</v>
      </c>
      <c r="H94" t="str">
        <f t="shared" si="3"/>
        <v>SRC-901 Jacksonville FL-TR-5036</v>
      </c>
      <c r="I94" t="s">
        <v>12</v>
      </c>
      <c r="J94">
        <v>18</v>
      </c>
      <c r="K94" t="s">
        <v>28</v>
      </c>
      <c r="L94" t="s">
        <v>29</v>
      </c>
      <c r="M94" s="2">
        <v>7200</v>
      </c>
      <c r="N94">
        <v>400</v>
      </c>
      <c r="O94">
        <v>385</v>
      </c>
    </row>
    <row r="95" spans="1:15" x14ac:dyDescent="0.25">
      <c r="A95" t="s">
        <v>11</v>
      </c>
      <c r="B95" t="s">
        <v>14</v>
      </c>
      <c r="C95" s="1">
        <v>46272</v>
      </c>
      <c r="D95" s="1">
        <v>46275</v>
      </c>
      <c r="E95" s="1" t="str">
        <f t="shared" si="2"/>
        <v>September 2026</v>
      </c>
      <c r="F95" t="s">
        <v>116</v>
      </c>
      <c r="G95" t="s">
        <v>117</v>
      </c>
      <c r="H95" t="str">
        <f t="shared" si="3"/>
        <v>SRC-901 Jacksonville FL-TR-5036</v>
      </c>
      <c r="I95" t="s">
        <v>12</v>
      </c>
      <c r="J95">
        <v>5</v>
      </c>
      <c r="K95" t="s">
        <v>64</v>
      </c>
      <c r="L95" t="s">
        <v>65</v>
      </c>
      <c r="M95">
        <v>550</v>
      </c>
      <c r="N95">
        <v>110</v>
      </c>
      <c r="O95">
        <v>104.5</v>
      </c>
    </row>
    <row r="96" spans="1:15" x14ac:dyDescent="0.25">
      <c r="A96" t="s">
        <v>11</v>
      </c>
      <c r="B96" t="s">
        <v>13</v>
      </c>
      <c r="C96" s="1">
        <v>46279</v>
      </c>
      <c r="D96" s="1">
        <v>46282</v>
      </c>
      <c r="E96" s="1" t="str">
        <f t="shared" si="2"/>
        <v>September 2026</v>
      </c>
      <c r="F96" t="s">
        <v>118</v>
      </c>
      <c r="G96" t="s">
        <v>119</v>
      </c>
      <c r="H96" t="str">
        <f t="shared" si="3"/>
        <v>SRC-901 Jacksonville FL-TR-5037</v>
      </c>
      <c r="I96" t="s">
        <v>12</v>
      </c>
      <c r="J96">
        <v>90</v>
      </c>
      <c r="K96" t="s">
        <v>45</v>
      </c>
      <c r="L96" t="s">
        <v>46</v>
      </c>
      <c r="M96" s="2">
        <v>4500</v>
      </c>
      <c r="N96">
        <v>50</v>
      </c>
      <c r="O96">
        <v>48</v>
      </c>
    </row>
    <row r="97" spans="1:15" x14ac:dyDescent="0.25">
      <c r="A97" t="s">
        <v>11</v>
      </c>
      <c r="B97" t="s">
        <v>13</v>
      </c>
      <c r="C97" s="1">
        <v>46279</v>
      </c>
      <c r="D97" s="1">
        <v>46282</v>
      </c>
      <c r="E97" s="1" t="str">
        <f t="shared" si="2"/>
        <v>September 2026</v>
      </c>
      <c r="F97" t="s">
        <v>118</v>
      </c>
      <c r="G97" t="s">
        <v>119</v>
      </c>
      <c r="H97" t="str">
        <f t="shared" si="3"/>
        <v>SRC-901 Jacksonville FL-TR-5037</v>
      </c>
      <c r="I97" t="s">
        <v>12</v>
      </c>
      <c r="J97">
        <v>8</v>
      </c>
      <c r="K97" t="s">
        <v>47</v>
      </c>
      <c r="L97" t="s">
        <v>48</v>
      </c>
      <c r="M97">
        <v>480</v>
      </c>
      <c r="N97">
        <v>60</v>
      </c>
      <c r="O97">
        <v>57.5</v>
      </c>
    </row>
    <row r="98" spans="1:15" x14ac:dyDescent="0.25">
      <c r="A98" t="s">
        <v>11</v>
      </c>
      <c r="B98" t="s">
        <v>17</v>
      </c>
      <c r="C98" s="1">
        <v>46286</v>
      </c>
      <c r="D98" s="1">
        <v>46289</v>
      </c>
      <c r="E98" s="1" t="str">
        <f t="shared" si="2"/>
        <v>September 2026</v>
      </c>
      <c r="F98" t="s">
        <v>120</v>
      </c>
      <c r="G98" t="s">
        <v>121</v>
      </c>
      <c r="H98" t="str">
        <f t="shared" si="3"/>
        <v>SRC-901 Jacksonville FL-TR-5038</v>
      </c>
      <c r="I98" t="s">
        <v>12</v>
      </c>
      <c r="J98">
        <v>170</v>
      </c>
      <c r="K98" t="s">
        <v>32</v>
      </c>
      <c r="L98" t="s">
        <v>33</v>
      </c>
      <c r="M98" s="2">
        <v>10200</v>
      </c>
      <c r="N98">
        <v>60</v>
      </c>
      <c r="O98">
        <v>59.1</v>
      </c>
    </row>
    <row r="99" spans="1:15" x14ac:dyDescent="0.25">
      <c r="A99" t="s">
        <v>11</v>
      </c>
      <c r="B99" t="s">
        <v>17</v>
      </c>
      <c r="C99" s="1">
        <v>46286</v>
      </c>
      <c r="D99" s="1">
        <v>46289</v>
      </c>
      <c r="E99" s="1" t="str">
        <f t="shared" si="2"/>
        <v>September 2026</v>
      </c>
      <c r="F99" t="s">
        <v>120</v>
      </c>
      <c r="G99" t="s">
        <v>121</v>
      </c>
      <c r="H99" t="str">
        <f t="shared" si="3"/>
        <v>SRC-901 Jacksonville FL-TR-5038</v>
      </c>
      <c r="I99" t="s">
        <v>12</v>
      </c>
      <c r="J99">
        <v>20</v>
      </c>
      <c r="K99" t="s">
        <v>34</v>
      </c>
      <c r="L99" t="s">
        <v>35</v>
      </c>
      <c r="M99">
        <v>1100</v>
      </c>
      <c r="N99">
        <v>55</v>
      </c>
      <c r="O99">
        <v>53.5</v>
      </c>
    </row>
    <row r="100" spans="1:15" x14ac:dyDescent="0.25">
      <c r="A100" t="s">
        <v>11</v>
      </c>
      <c r="B100" t="s">
        <v>17</v>
      </c>
      <c r="C100" s="1">
        <v>46286</v>
      </c>
      <c r="D100" s="1">
        <v>46289</v>
      </c>
      <c r="E100" s="1" t="str">
        <f t="shared" si="2"/>
        <v>September 2026</v>
      </c>
      <c r="F100" t="s">
        <v>120</v>
      </c>
      <c r="G100" t="s">
        <v>121</v>
      </c>
      <c r="H100" t="str">
        <f t="shared" si="3"/>
        <v>SRC-901 Jacksonville FL-TR-5038</v>
      </c>
      <c r="I100" t="s">
        <v>12</v>
      </c>
      <c r="J100">
        <v>15</v>
      </c>
      <c r="K100" t="s">
        <v>24</v>
      </c>
      <c r="L100" t="s">
        <v>25</v>
      </c>
      <c r="M100">
        <v>1425</v>
      </c>
      <c r="N100">
        <v>95</v>
      </c>
      <c r="O100">
        <v>92.1</v>
      </c>
    </row>
    <row r="101" spans="1:15" x14ac:dyDescent="0.25">
      <c r="A101" t="s">
        <v>11</v>
      </c>
      <c r="B101" t="s">
        <v>36</v>
      </c>
      <c r="C101" s="1">
        <v>46293</v>
      </c>
      <c r="D101" s="1">
        <v>46296</v>
      </c>
      <c r="E101" s="1" t="str">
        <f t="shared" si="2"/>
        <v>September 2026</v>
      </c>
      <c r="F101" t="s">
        <v>122</v>
      </c>
      <c r="G101" t="s">
        <v>123</v>
      </c>
      <c r="H101" t="str">
        <f t="shared" si="3"/>
        <v>SRC-901 Jacksonville FL-TR-5039</v>
      </c>
      <c r="I101" t="s">
        <v>12</v>
      </c>
      <c r="J101">
        <v>12</v>
      </c>
      <c r="K101" t="s">
        <v>39</v>
      </c>
      <c r="L101" t="s">
        <v>40</v>
      </c>
      <c r="M101">
        <v>180</v>
      </c>
      <c r="N101">
        <v>15</v>
      </c>
      <c r="O101">
        <v>14.2</v>
      </c>
    </row>
    <row r="102" spans="1:15" x14ac:dyDescent="0.25">
      <c r="A102" t="s">
        <v>11</v>
      </c>
      <c r="B102" t="s">
        <v>36</v>
      </c>
      <c r="C102" s="1">
        <v>46293</v>
      </c>
      <c r="D102" s="1">
        <v>46296</v>
      </c>
      <c r="E102" s="1" t="str">
        <f t="shared" si="2"/>
        <v>September 2026</v>
      </c>
      <c r="F102" t="s">
        <v>122</v>
      </c>
      <c r="G102" t="s">
        <v>123</v>
      </c>
      <c r="H102" t="str">
        <f t="shared" si="3"/>
        <v>SRC-901 Jacksonville FL-TR-5039</v>
      </c>
      <c r="I102" t="s">
        <v>12</v>
      </c>
      <c r="J102">
        <v>20</v>
      </c>
      <c r="K102" t="s">
        <v>66</v>
      </c>
      <c r="L102" t="s">
        <v>67</v>
      </c>
      <c r="M102">
        <v>500</v>
      </c>
      <c r="N102">
        <v>25</v>
      </c>
      <c r="O102">
        <v>23.8</v>
      </c>
    </row>
    <row r="103" spans="1:15" x14ac:dyDescent="0.25">
      <c r="A103" t="s">
        <v>11</v>
      </c>
      <c r="B103" t="s">
        <v>13</v>
      </c>
      <c r="C103" s="1">
        <v>46300</v>
      </c>
      <c r="D103" s="1">
        <v>46303</v>
      </c>
      <c r="E103" s="1" t="str">
        <f t="shared" si="2"/>
        <v>October 2026</v>
      </c>
      <c r="F103" t="s">
        <v>124</v>
      </c>
      <c r="G103" t="s">
        <v>125</v>
      </c>
      <c r="H103" t="str">
        <f t="shared" si="3"/>
        <v>SRC-901 Jacksonville FL-TR-5040</v>
      </c>
      <c r="I103" t="s">
        <v>12</v>
      </c>
      <c r="J103">
        <v>105</v>
      </c>
      <c r="K103" t="s">
        <v>20</v>
      </c>
      <c r="L103" t="s">
        <v>21</v>
      </c>
      <c r="M103">
        <v>6300</v>
      </c>
      <c r="N103">
        <v>60</v>
      </c>
      <c r="O103">
        <v>58.5</v>
      </c>
    </row>
    <row r="104" spans="1:15" x14ac:dyDescent="0.25">
      <c r="A104" t="s">
        <v>11</v>
      </c>
      <c r="B104" t="s">
        <v>13</v>
      </c>
      <c r="C104" s="1">
        <v>46300</v>
      </c>
      <c r="D104" s="1">
        <v>46303</v>
      </c>
      <c r="E104" s="1" t="str">
        <f t="shared" si="2"/>
        <v>October 2026</v>
      </c>
      <c r="F104" t="s">
        <v>124</v>
      </c>
      <c r="G104" t="s">
        <v>125</v>
      </c>
      <c r="H104" t="str">
        <f t="shared" si="3"/>
        <v>SRC-901 Jacksonville FL-TR-5040</v>
      </c>
      <c r="I104" t="s">
        <v>12</v>
      </c>
      <c r="J104">
        <v>12</v>
      </c>
      <c r="K104" t="s">
        <v>22</v>
      </c>
      <c r="L104" t="s">
        <v>23</v>
      </c>
      <c r="M104">
        <v>660</v>
      </c>
      <c r="N104">
        <v>55</v>
      </c>
      <c r="O104">
        <v>53.2</v>
      </c>
    </row>
    <row r="105" spans="1:15" x14ac:dyDescent="0.25">
      <c r="A105" t="s">
        <v>11</v>
      </c>
      <c r="B105" t="s">
        <v>17</v>
      </c>
      <c r="C105" s="1">
        <v>46307</v>
      </c>
      <c r="D105" s="1">
        <v>46310</v>
      </c>
      <c r="E105" s="1" t="str">
        <f t="shared" si="2"/>
        <v>October 2026</v>
      </c>
      <c r="F105" t="s">
        <v>126</v>
      </c>
      <c r="G105" t="s">
        <v>127</v>
      </c>
      <c r="H105" t="str">
        <f t="shared" si="3"/>
        <v>SRC-901 Jacksonville FL-TR-5041</v>
      </c>
      <c r="I105" t="s">
        <v>12</v>
      </c>
      <c r="J105">
        <v>230</v>
      </c>
      <c r="K105" t="s">
        <v>20</v>
      </c>
      <c r="L105" t="s">
        <v>21</v>
      </c>
      <c r="M105" s="2">
        <v>13800</v>
      </c>
      <c r="N105">
        <v>60</v>
      </c>
      <c r="O105">
        <v>58.5</v>
      </c>
    </row>
    <row r="106" spans="1:15" x14ac:dyDescent="0.25">
      <c r="A106" t="s">
        <v>11</v>
      </c>
      <c r="B106" t="s">
        <v>17</v>
      </c>
      <c r="C106" s="1">
        <v>46307</v>
      </c>
      <c r="D106" s="1">
        <v>46310</v>
      </c>
      <c r="E106" s="1" t="str">
        <f t="shared" si="2"/>
        <v>October 2026</v>
      </c>
      <c r="F106" t="s">
        <v>126</v>
      </c>
      <c r="G106" t="s">
        <v>127</v>
      </c>
      <c r="H106" t="str">
        <f t="shared" si="3"/>
        <v>SRC-901 Jacksonville FL-TR-5041</v>
      </c>
      <c r="I106" t="s">
        <v>12</v>
      </c>
      <c r="J106">
        <v>28</v>
      </c>
      <c r="K106" t="s">
        <v>22</v>
      </c>
      <c r="L106" t="s">
        <v>23</v>
      </c>
      <c r="M106">
        <v>1540</v>
      </c>
      <c r="N106">
        <v>55</v>
      </c>
      <c r="O106">
        <v>53.2</v>
      </c>
    </row>
    <row r="107" spans="1:15" x14ac:dyDescent="0.25">
      <c r="A107" t="s">
        <v>11</v>
      </c>
      <c r="B107" t="s">
        <v>17</v>
      </c>
      <c r="C107" s="1">
        <v>46307</v>
      </c>
      <c r="D107" s="1">
        <v>46310</v>
      </c>
      <c r="E107" s="1" t="str">
        <f t="shared" si="2"/>
        <v>October 2026</v>
      </c>
      <c r="F107" t="s">
        <v>126</v>
      </c>
      <c r="G107" t="s">
        <v>127</v>
      </c>
      <c r="H107" t="str">
        <f t="shared" si="3"/>
        <v>SRC-901 Jacksonville FL-TR-5041</v>
      </c>
      <c r="I107" t="s">
        <v>12</v>
      </c>
      <c r="J107">
        <v>18</v>
      </c>
      <c r="K107" t="s">
        <v>24</v>
      </c>
      <c r="L107" t="s">
        <v>25</v>
      </c>
      <c r="M107" s="2">
        <v>1710</v>
      </c>
      <c r="N107">
        <v>95</v>
      </c>
      <c r="O107">
        <v>92.1</v>
      </c>
    </row>
    <row r="108" spans="1:15" x14ac:dyDescent="0.25">
      <c r="A108" t="s">
        <v>11</v>
      </c>
      <c r="B108" t="s">
        <v>17</v>
      </c>
      <c r="C108" s="1">
        <v>46307</v>
      </c>
      <c r="D108" s="1">
        <v>46310</v>
      </c>
      <c r="E108" s="1" t="str">
        <f t="shared" si="2"/>
        <v>October 2026</v>
      </c>
      <c r="F108" t="s">
        <v>126</v>
      </c>
      <c r="G108" t="s">
        <v>127</v>
      </c>
      <c r="H108" t="str">
        <f t="shared" si="3"/>
        <v>SRC-901 Jacksonville FL-TR-5041</v>
      </c>
      <c r="I108" t="s">
        <v>12</v>
      </c>
      <c r="J108">
        <v>8</v>
      </c>
      <c r="K108" t="s">
        <v>47</v>
      </c>
      <c r="L108" t="s">
        <v>48</v>
      </c>
      <c r="M108">
        <v>480</v>
      </c>
      <c r="N108">
        <v>60</v>
      </c>
      <c r="O108">
        <v>57.5</v>
      </c>
    </row>
    <row r="109" spans="1:15" x14ac:dyDescent="0.25">
      <c r="A109" t="s">
        <v>11</v>
      </c>
      <c r="B109" t="s">
        <v>13</v>
      </c>
      <c r="C109" s="1">
        <v>46314</v>
      </c>
      <c r="D109" s="1">
        <v>46317</v>
      </c>
      <c r="E109" s="1" t="str">
        <f t="shared" si="2"/>
        <v>October 2026</v>
      </c>
      <c r="F109" t="s">
        <v>128</v>
      </c>
      <c r="G109" t="s">
        <v>129</v>
      </c>
      <c r="H109" t="str">
        <f t="shared" si="3"/>
        <v>SRC-901 Jacksonville FL-TR-5042</v>
      </c>
      <c r="I109" t="s">
        <v>12</v>
      </c>
      <c r="J109">
        <v>90</v>
      </c>
      <c r="K109" t="s">
        <v>32</v>
      </c>
      <c r="L109" t="s">
        <v>33</v>
      </c>
      <c r="M109">
        <v>5400</v>
      </c>
      <c r="N109">
        <v>60</v>
      </c>
      <c r="O109">
        <v>59.1</v>
      </c>
    </row>
    <row r="110" spans="1:15" x14ac:dyDescent="0.25">
      <c r="A110" t="s">
        <v>11</v>
      </c>
      <c r="B110" t="s">
        <v>13</v>
      </c>
      <c r="C110" s="1">
        <v>46314</v>
      </c>
      <c r="D110" s="1">
        <v>46317</v>
      </c>
      <c r="E110" s="1" t="str">
        <f t="shared" si="2"/>
        <v>October 2026</v>
      </c>
      <c r="F110" t="s">
        <v>128</v>
      </c>
      <c r="G110" t="s">
        <v>129</v>
      </c>
      <c r="H110" t="str">
        <f t="shared" si="3"/>
        <v>SRC-901 Jacksonville FL-TR-5042</v>
      </c>
      <c r="I110" t="s">
        <v>12</v>
      </c>
      <c r="J110">
        <v>10</v>
      </c>
      <c r="K110" t="s">
        <v>34</v>
      </c>
      <c r="L110" t="s">
        <v>35</v>
      </c>
      <c r="M110">
        <v>550</v>
      </c>
      <c r="N110">
        <v>55</v>
      </c>
      <c r="O110">
        <v>53.5</v>
      </c>
    </row>
    <row r="111" spans="1:15" x14ac:dyDescent="0.25">
      <c r="A111" t="s">
        <v>11</v>
      </c>
      <c r="B111" t="s">
        <v>17</v>
      </c>
      <c r="C111" s="1">
        <v>46321</v>
      </c>
      <c r="D111" s="1">
        <v>46324</v>
      </c>
      <c r="E111" s="1" t="str">
        <f t="shared" si="2"/>
        <v>October 2026</v>
      </c>
      <c r="F111" t="s">
        <v>130</v>
      </c>
      <c r="G111" t="s">
        <v>131</v>
      </c>
      <c r="H111" t="str">
        <f t="shared" si="3"/>
        <v>SRC-901 Jacksonville FL-TR-5043</v>
      </c>
      <c r="I111" t="s">
        <v>12</v>
      </c>
      <c r="J111">
        <v>195</v>
      </c>
      <c r="K111" t="s">
        <v>20</v>
      </c>
      <c r="L111" t="s">
        <v>21</v>
      </c>
      <c r="M111">
        <v>11700</v>
      </c>
      <c r="N111">
        <v>60</v>
      </c>
      <c r="O111">
        <v>58.5</v>
      </c>
    </row>
    <row r="112" spans="1:15" x14ac:dyDescent="0.25">
      <c r="A112" t="s">
        <v>11</v>
      </c>
      <c r="B112" t="s">
        <v>17</v>
      </c>
      <c r="C112" s="1">
        <v>46321</v>
      </c>
      <c r="D112" s="1">
        <v>46324</v>
      </c>
      <c r="E112" s="1" t="str">
        <f t="shared" si="2"/>
        <v>October 2026</v>
      </c>
      <c r="F112" t="s">
        <v>130</v>
      </c>
      <c r="G112" t="s">
        <v>131</v>
      </c>
      <c r="H112" t="str">
        <f t="shared" si="3"/>
        <v>SRC-901 Jacksonville FL-TR-5043</v>
      </c>
      <c r="I112" t="s">
        <v>12</v>
      </c>
      <c r="J112">
        <v>22</v>
      </c>
      <c r="K112" t="s">
        <v>22</v>
      </c>
      <c r="L112" t="s">
        <v>23</v>
      </c>
      <c r="M112">
        <v>1210</v>
      </c>
      <c r="N112">
        <v>55</v>
      </c>
      <c r="O112">
        <v>53.2</v>
      </c>
    </row>
    <row r="113" spans="1:15" x14ac:dyDescent="0.25">
      <c r="A113" t="s">
        <v>11</v>
      </c>
      <c r="B113" t="s">
        <v>17</v>
      </c>
      <c r="C113" s="1">
        <v>46321</v>
      </c>
      <c r="D113" s="1">
        <v>46324</v>
      </c>
      <c r="E113" s="1" t="str">
        <f t="shared" si="2"/>
        <v>October 2026</v>
      </c>
      <c r="F113" t="s">
        <v>130</v>
      </c>
      <c r="G113" t="s">
        <v>131</v>
      </c>
      <c r="H113" t="str">
        <f t="shared" si="3"/>
        <v>SRC-901 Jacksonville FL-TR-5043</v>
      </c>
      <c r="I113" t="s">
        <v>12</v>
      </c>
      <c r="J113">
        <v>16</v>
      </c>
      <c r="K113" t="s">
        <v>24</v>
      </c>
      <c r="L113" t="s">
        <v>25</v>
      </c>
      <c r="M113">
        <v>1520</v>
      </c>
      <c r="N113">
        <v>95</v>
      </c>
      <c r="O113">
        <v>92.1</v>
      </c>
    </row>
    <row r="114" spans="1:15" x14ac:dyDescent="0.25">
      <c r="A114" t="s">
        <v>11</v>
      </c>
      <c r="B114" t="s">
        <v>17</v>
      </c>
      <c r="C114" s="1">
        <v>46328</v>
      </c>
      <c r="D114" s="1">
        <v>46331</v>
      </c>
      <c r="E114" s="1" t="str">
        <f t="shared" si="2"/>
        <v>November 2026</v>
      </c>
      <c r="F114" t="s">
        <v>132</v>
      </c>
      <c r="G114" t="s">
        <v>133</v>
      </c>
      <c r="H114" t="str">
        <f t="shared" si="3"/>
        <v>SRC-901 Jacksonville FL-TR-5044</v>
      </c>
      <c r="I114" t="s">
        <v>12</v>
      </c>
      <c r="J114">
        <v>215</v>
      </c>
      <c r="K114" t="s">
        <v>32</v>
      </c>
      <c r="L114" t="s">
        <v>33</v>
      </c>
      <c r="M114">
        <v>12900</v>
      </c>
      <c r="N114">
        <v>60</v>
      </c>
      <c r="O114">
        <v>59.1</v>
      </c>
    </row>
    <row r="115" spans="1:15" x14ac:dyDescent="0.25">
      <c r="A115" t="s">
        <v>11</v>
      </c>
      <c r="B115" t="s">
        <v>17</v>
      </c>
      <c r="C115" s="1">
        <v>46328</v>
      </c>
      <c r="D115" s="1">
        <v>46331</v>
      </c>
      <c r="E115" s="1" t="str">
        <f t="shared" si="2"/>
        <v>November 2026</v>
      </c>
      <c r="F115" t="s">
        <v>132</v>
      </c>
      <c r="G115" t="s">
        <v>133</v>
      </c>
      <c r="H115" t="str">
        <f t="shared" si="3"/>
        <v>SRC-901 Jacksonville FL-TR-5044</v>
      </c>
      <c r="I115" t="s">
        <v>12</v>
      </c>
      <c r="J115">
        <v>25</v>
      </c>
      <c r="K115" t="s">
        <v>34</v>
      </c>
      <c r="L115" t="s">
        <v>35</v>
      </c>
      <c r="M115">
        <v>1375</v>
      </c>
      <c r="N115">
        <v>55</v>
      </c>
      <c r="O115">
        <v>53.5</v>
      </c>
    </row>
    <row r="116" spans="1:15" x14ac:dyDescent="0.25">
      <c r="A116" t="s">
        <v>11</v>
      </c>
      <c r="B116" t="s">
        <v>17</v>
      </c>
      <c r="C116" s="1">
        <v>46328</v>
      </c>
      <c r="D116" s="1">
        <v>46331</v>
      </c>
      <c r="E116" s="1" t="str">
        <f t="shared" si="2"/>
        <v>November 2026</v>
      </c>
      <c r="F116" t="s">
        <v>132</v>
      </c>
      <c r="G116" t="s">
        <v>133</v>
      </c>
      <c r="H116" t="str">
        <f t="shared" si="3"/>
        <v>SRC-901 Jacksonville FL-TR-5044</v>
      </c>
      <c r="I116" t="s">
        <v>12</v>
      </c>
      <c r="J116">
        <v>18</v>
      </c>
      <c r="K116" t="s">
        <v>24</v>
      </c>
      <c r="L116" t="s">
        <v>25</v>
      </c>
      <c r="M116" s="2">
        <v>1710</v>
      </c>
      <c r="N116">
        <v>95</v>
      </c>
      <c r="O116">
        <v>92.1</v>
      </c>
    </row>
    <row r="117" spans="1:15" x14ac:dyDescent="0.25">
      <c r="A117" t="s">
        <v>11</v>
      </c>
      <c r="B117" t="s">
        <v>17</v>
      </c>
      <c r="C117" s="1">
        <v>46328</v>
      </c>
      <c r="D117" s="1">
        <v>46331</v>
      </c>
      <c r="E117" s="1" t="str">
        <f t="shared" si="2"/>
        <v>November 2026</v>
      </c>
      <c r="F117" t="s">
        <v>132</v>
      </c>
      <c r="G117" t="s">
        <v>133</v>
      </c>
      <c r="H117" t="str">
        <f t="shared" si="3"/>
        <v>SRC-901 Jacksonville FL-TR-5044</v>
      </c>
      <c r="I117" t="s">
        <v>12</v>
      </c>
      <c r="J117">
        <v>7</v>
      </c>
      <c r="K117" t="s">
        <v>47</v>
      </c>
      <c r="L117" t="s">
        <v>48</v>
      </c>
      <c r="M117">
        <v>420</v>
      </c>
      <c r="N117">
        <v>60</v>
      </c>
      <c r="O117">
        <v>57.5</v>
      </c>
    </row>
    <row r="118" spans="1:15" x14ac:dyDescent="0.25">
      <c r="A118" t="s">
        <v>11</v>
      </c>
      <c r="B118" t="s">
        <v>13</v>
      </c>
      <c r="C118" s="1">
        <v>46335</v>
      </c>
      <c r="D118" s="1">
        <v>46338</v>
      </c>
      <c r="E118" s="1" t="str">
        <f t="shared" si="2"/>
        <v>November 2026</v>
      </c>
      <c r="F118" t="s">
        <v>134</v>
      </c>
      <c r="G118" t="s">
        <v>135</v>
      </c>
      <c r="H118" t="str">
        <f t="shared" si="3"/>
        <v>SRC-901 Jacksonville FL-TR-5045</v>
      </c>
      <c r="I118" t="s">
        <v>12</v>
      </c>
      <c r="J118">
        <v>120</v>
      </c>
      <c r="K118" t="s">
        <v>20</v>
      </c>
      <c r="L118" t="s">
        <v>21</v>
      </c>
      <c r="M118" s="2">
        <v>7200</v>
      </c>
      <c r="N118">
        <v>60</v>
      </c>
      <c r="O118">
        <v>58.5</v>
      </c>
    </row>
    <row r="119" spans="1:15" x14ac:dyDescent="0.25">
      <c r="A119" t="s">
        <v>11</v>
      </c>
      <c r="B119" t="s">
        <v>13</v>
      </c>
      <c r="C119" s="1">
        <v>46335</v>
      </c>
      <c r="D119" s="1">
        <v>46338</v>
      </c>
      <c r="E119" s="1" t="str">
        <f t="shared" si="2"/>
        <v>November 2026</v>
      </c>
      <c r="F119" t="s">
        <v>134</v>
      </c>
      <c r="G119" t="s">
        <v>135</v>
      </c>
      <c r="H119" t="str">
        <f t="shared" si="3"/>
        <v>SRC-901 Jacksonville FL-TR-5045</v>
      </c>
      <c r="I119" t="s">
        <v>12</v>
      </c>
      <c r="J119">
        <v>15</v>
      </c>
      <c r="K119" t="s">
        <v>22</v>
      </c>
      <c r="L119" t="s">
        <v>23</v>
      </c>
      <c r="M119" s="2">
        <v>825</v>
      </c>
      <c r="N119">
        <v>55</v>
      </c>
      <c r="O119">
        <v>53.2</v>
      </c>
    </row>
    <row r="120" spans="1:15" x14ac:dyDescent="0.25">
      <c r="A120" t="s">
        <v>11</v>
      </c>
      <c r="B120" t="s">
        <v>17</v>
      </c>
      <c r="C120" s="1">
        <v>46342</v>
      </c>
      <c r="D120" s="1">
        <v>46345</v>
      </c>
      <c r="E120" s="1" t="str">
        <f t="shared" si="2"/>
        <v>November 2026</v>
      </c>
      <c r="F120" t="s">
        <v>136</v>
      </c>
      <c r="G120" t="s">
        <v>137</v>
      </c>
      <c r="H120" t="str">
        <f t="shared" si="3"/>
        <v>SRC-901 Jacksonville FL-TR-5046</v>
      </c>
      <c r="I120" t="s">
        <v>12</v>
      </c>
      <c r="J120">
        <v>185</v>
      </c>
      <c r="K120" t="s">
        <v>20</v>
      </c>
      <c r="L120" t="s">
        <v>21</v>
      </c>
      <c r="M120">
        <v>11100</v>
      </c>
      <c r="N120">
        <v>60</v>
      </c>
      <c r="O120">
        <v>58.5</v>
      </c>
    </row>
    <row r="121" spans="1:15" x14ac:dyDescent="0.25">
      <c r="A121" t="s">
        <v>11</v>
      </c>
      <c r="B121" t="s">
        <v>17</v>
      </c>
      <c r="C121" s="1">
        <v>46342</v>
      </c>
      <c r="D121" s="1">
        <v>46345</v>
      </c>
      <c r="E121" s="1" t="str">
        <f t="shared" si="2"/>
        <v>November 2026</v>
      </c>
      <c r="F121" t="s">
        <v>136</v>
      </c>
      <c r="G121" t="s">
        <v>137</v>
      </c>
      <c r="H121" t="str">
        <f t="shared" si="3"/>
        <v>SRC-901 Jacksonville FL-TR-5046</v>
      </c>
      <c r="I121" t="s">
        <v>12</v>
      </c>
      <c r="J121">
        <v>20</v>
      </c>
      <c r="K121" t="s">
        <v>22</v>
      </c>
      <c r="L121" t="s">
        <v>23</v>
      </c>
      <c r="M121" s="2">
        <v>1100</v>
      </c>
      <c r="N121">
        <v>55</v>
      </c>
      <c r="O121">
        <v>53.2</v>
      </c>
    </row>
    <row r="122" spans="1:15" x14ac:dyDescent="0.25">
      <c r="A122" t="s">
        <v>11</v>
      </c>
      <c r="B122" t="s">
        <v>17</v>
      </c>
      <c r="C122" s="1">
        <v>46342</v>
      </c>
      <c r="D122" s="1">
        <v>46345</v>
      </c>
      <c r="E122" s="1" t="str">
        <f t="shared" si="2"/>
        <v>November 2026</v>
      </c>
      <c r="F122" t="s">
        <v>136</v>
      </c>
      <c r="G122" t="s">
        <v>137</v>
      </c>
      <c r="H122" t="str">
        <f t="shared" si="3"/>
        <v>SRC-901 Jacksonville FL-TR-5046</v>
      </c>
      <c r="I122" t="s">
        <v>12</v>
      </c>
      <c r="J122">
        <v>14</v>
      </c>
      <c r="K122" t="s">
        <v>24</v>
      </c>
      <c r="L122" t="s">
        <v>25</v>
      </c>
      <c r="M122">
        <v>1330</v>
      </c>
      <c r="N122">
        <v>95</v>
      </c>
      <c r="O122">
        <v>92.1</v>
      </c>
    </row>
    <row r="123" spans="1:15" x14ac:dyDescent="0.25">
      <c r="A123" t="s">
        <v>11</v>
      </c>
      <c r="B123" t="s">
        <v>13</v>
      </c>
      <c r="C123" s="1">
        <v>46346</v>
      </c>
      <c r="D123" s="1">
        <v>46350</v>
      </c>
      <c r="E123" s="1" t="str">
        <f t="shared" si="2"/>
        <v>November 2026</v>
      </c>
      <c r="F123" t="s">
        <v>138</v>
      </c>
      <c r="G123" t="s">
        <v>139</v>
      </c>
      <c r="H123" t="str">
        <f t="shared" si="3"/>
        <v>SRC-901 Jacksonville FL-TR-5047</v>
      </c>
      <c r="I123" t="s">
        <v>12</v>
      </c>
      <c r="J123">
        <v>80</v>
      </c>
      <c r="K123" t="s">
        <v>32</v>
      </c>
      <c r="L123" t="s">
        <v>33</v>
      </c>
      <c r="M123">
        <v>4800</v>
      </c>
      <c r="N123">
        <v>60</v>
      </c>
      <c r="O123">
        <v>59.1</v>
      </c>
    </row>
    <row r="124" spans="1:15" x14ac:dyDescent="0.25">
      <c r="A124" t="s">
        <v>11</v>
      </c>
      <c r="B124" t="s">
        <v>13</v>
      </c>
      <c r="C124" s="1">
        <v>46346</v>
      </c>
      <c r="D124" s="1">
        <v>46350</v>
      </c>
      <c r="E124" s="1" t="str">
        <f t="shared" si="2"/>
        <v>November 2026</v>
      </c>
      <c r="F124" t="s">
        <v>138</v>
      </c>
      <c r="G124" t="s">
        <v>139</v>
      </c>
      <c r="H124" t="str">
        <f t="shared" si="3"/>
        <v>SRC-901 Jacksonville FL-TR-5047</v>
      </c>
      <c r="I124" t="s">
        <v>12</v>
      </c>
      <c r="J124">
        <v>10</v>
      </c>
      <c r="K124" t="s">
        <v>34</v>
      </c>
      <c r="L124" t="s">
        <v>35</v>
      </c>
      <c r="M124">
        <v>550</v>
      </c>
      <c r="N124">
        <v>55</v>
      </c>
      <c r="O124">
        <v>53.5</v>
      </c>
    </row>
    <row r="125" spans="1:15" x14ac:dyDescent="0.25">
      <c r="A125" t="s">
        <v>11</v>
      </c>
      <c r="B125" t="s">
        <v>17</v>
      </c>
      <c r="C125" s="1">
        <v>46351</v>
      </c>
      <c r="D125" s="1">
        <v>46356</v>
      </c>
      <c r="E125" s="1" t="str">
        <f t="shared" si="2"/>
        <v>November 2026</v>
      </c>
      <c r="F125" t="s">
        <v>140</v>
      </c>
      <c r="G125" t="s">
        <v>141</v>
      </c>
      <c r="H125" t="str">
        <f t="shared" si="3"/>
        <v>SRC-901 Jacksonville FL-TR-5048</v>
      </c>
      <c r="I125" t="s">
        <v>12</v>
      </c>
      <c r="J125">
        <v>260</v>
      </c>
      <c r="K125" t="s">
        <v>20</v>
      </c>
      <c r="L125" t="s">
        <v>21</v>
      </c>
      <c r="M125">
        <v>15600</v>
      </c>
      <c r="N125">
        <v>60</v>
      </c>
      <c r="O125">
        <v>58.5</v>
      </c>
    </row>
    <row r="126" spans="1:15" x14ac:dyDescent="0.25">
      <c r="A126" t="s">
        <v>11</v>
      </c>
      <c r="B126" t="s">
        <v>17</v>
      </c>
      <c r="C126" s="1">
        <v>46351</v>
      </c>
      <c r="D126" s="1">
        <v>46356</v>
      </c>
      <c r="E126" s="1" t="str">
        <f t="shared" si="2"/>
        <v>November 2026</v>
      </c>
      <c r="F126" t="s">
        <v>140</v>
      </c>
      <c r="G126" t="s">
        <v>141</v>
      </c>
      <c r="H126" t="str">
        <f t="shared" si="3"/>
        <v>SRC-901 Jacksonville FL-TR-5048</v>
      </c>
      <c r="I126" t="s">
        <v>12</v>
      </c>
      <c r="J126">
        <v>30</v>
      </c>
      <c r="K126" t="s">
        <v>22</v>
      </c>
      <c r="L126" t="s">
        <v>23</v>
      </c>
      <c r="M126">
        <v>1650</v>
      </c>
      <c r="N126">
        <v>55</v>
      </c>
      <c r="O126">
        <v>53.2</v>
      </c>
    </row>
    <row r="127" spans="1:15" x14ac:dyDescent="0.25">
      <c r="A127" t="s">
        <v>11</v>
      </c>
      <c r="B127" t="s">
        <v>17</v>
      </c>
      <c r="C127" s="1">
        <v>46351</v>
      </c>
      <c r="D127" s="1">
        <v>46356</v>
      </c>
      <c r="E127" s="1" t="str">
        <f t="shared" si="2"/>
        <v>November 2026</v>
      </c>
      <c r="F127" t="s">
        <v>140</v>
      </c>
      <c r="G127" t="s">
        <v>141</v>
      </c>
      <c r="H127" t="str">
        <f t="shared" si="3"/>
        <v>SRC-901 Jacksonville FL-TR-5048</v>
      </c>
      <c r="I127" t="s">
        <v>12</v>
      </c>
      <c r="J127">
        <v>20</v>
      </c>
      <c r="K127" t="s">
        <v>24</v>
      </c>
      <c r="L127" t="s">
        <v>25</v>
      </c>
      <c r="M127">
        <v>1900</v>
      </c>
      <c r="N127">
        <v>95</v>
      </c>
      <c r="O127">
        <v>92.1</v>
      </c>
    </row>
    <row r="128" spans="1:15" x14ac:dyDescent="0.25">
      <c r="A128" t="s">
        <v>11</v>
      </c>
      <c r="B128" t="s">
        <v>17</v>
      </c>
      <c r="C128" s="1">
        <v>46351</v>
      </c>
      <c r="D128" s="1">
        <v>46356</v>
      </c>
      <c r="E128" s="1" t="str">
        <f t="shared" si="2"/>
        <v>November 2026</v>
      </c>
      <c r="F128" t="s">
        <v>140</v>
      </c>
      <c r="G128" t="s">
        <v>141</v>
      </c>
      <c r="H128" t="str">
        <f t="shared" si="3"/>
        <v>SRC-901 Jacksonville FL-TR-5048</v>
      </c>
      <c r="I128" t="s">
        <v>12</v>
      </c>
      <c r="J128">
        <v>8</v>
      </c>
      <c r="K128" t="s">
        <v>47</v>
      </c>
      <c r="L128" t="s">
        <v>48</v>
      </c>
      <c r="M128" s="2">
        <v>480</v>
      </c>
      <c r="N128">
        <v>60</v>
      </c>
      <c r="O128">
        <v>57.5</v>
      </c>
    </row>
    <row r="129" spans="1:15" x14ac:dyDescent="0.25">
      <c r="A129" t="s">
        <v>11</v>
      </c>
      <c r="B129" t="s">
        <v>17</v>
      </c>
      <c r="C129" s="1">
        <v>46351</v>
      </c>
      <c r="D129" s="1">
        <v>46356</v>
      </c>
      <c r="E129" s="1" t="str">
        <f t="shared" si="2"/>
        <v>November 2026</v>
      </c>
      <c r="F129" t="s">
        <v>140</v>
      </c>
      <c r="G129" t="s">
        <v>141</v>
      </c>
      <c r="H129" t="str">
        <f t="shared" si="3"/>
        <v>SRC-901 Jacksonville FL-TR-5048</v>
      </c>
      <c r="I129" t="s">
        <v>12</v>
      </c>
      <c r="J129">
        <v>12</v>
      </c>
      <c r="K129" t="s">
        <v>70</v>
      </c>
      <c r="L129" t="s">
        <v>71</v>
      </c>
      <c r="M129">
        <v>1440</v>
      </c>
      <c r="N129">
        <v>120</v>
      </c>
      <c r="O129">
        <v>114</v>
      </c>
    </row>
    <row r="130" spans="1:15" x14ac:dyDescent="0.25">
      <c r="A130" t="s">
        <v>11</v>
      </c>
      <c r="B130" t="s">
        <v>17</v>
      </c>
      <c r="C130" s="1">
        <v>46035</v>
      </c>
      <c r="D130" s="1">
        <v>46038</v>
      </c>
      <c r="E130" s="1" t="str">
        <f t="shared" si="2"/>
        <v>January 2026</v>
      </c>
      <c r="F130" t="s">
        <v>142</v>
      </c>
      <c r="G130" t="s">
        <v>143</v>
      </c>
      <c r="H130" t="str">
        <f t="shared" si="3"/>
        <v>SRC-901 Jacksonville FL-TR-5049</v>
      </c>
      <c r="I130" t="s">
        <v>12</v>
      </c>
      <c r="J130">
        <v>110</v>
      </c>
      <c r="K130" t="s">
        <v>20</v>
      </c>
      <c r="L130" t="s">
        <v>21</v>
      </c>
      <c r="M130">
        <v>6600</v>
      </c>
      <c r="N130">
        <v>60</v>
      </c>
      <c r="O130">
        <v>58.5</v>
      </c>
    </row>
    <row r="131" spans="1:15" x14ac:dyDescent="0.25">
      <c r="A131" t="s">
        <v>11</v>
      </c>
      <c r="B131" t="s">
        <v>17</v>
      </c>
      <c r="C131" s="1">
        <v>46035</v>
      </c>
      <c r="D131" s="1">
        <v>46038</v>
      </c>
      <c r="E131" s="1" t="str">
        <f t="shared" ref="E131:E173" si="4">TEXT(C131, "MMMM YYYY")</f>
        <v>January 2026</v>
      </c>
      <c r="F131" t="s">
        <v>142</v>
      </c>
      <c r="G131" t="s">
        <v>143</v>
      </c>
      <c r="H131" t="str">
        <f t="shared" si="3"/>
        <v>SRC-901 Jacksonville FL-TR-5049</v>
      </c>
      <c r="I131" t="s">
        <v>12</v>
      </c>
      <c r="J131">
        <v>14</v>
      </c>
      <c r="K131" t="s">
        <v>22</v>
      </c>
      <c r="L131" t="s">
        <v>23</v>
      </c>
      <c r="M131">
        <v>770</v>
      </c>
      <c r="N131">
        <v>55</v>
      </c>
      <c r="O131">
        <v>53.2</v>
      </c>
    </row>
    <row r="132" spans="1:15" x14ac:dyDescent="0.25">
      <c r="A132" t="s">
        <v>11</v>
      </c>
      <c r="B132" t="s">
        <v>17</v>
      </c>
      <c r="C132" s="1">
        <v>46035</v>
      </c>
      <c r="D132" s="1">
        <v>46038</v>
      </c>
      <c r="E132" s="1" t="str">
        <f t="shared" si="4"/>
        <v>January 2026</v>
      </c>
      <c r="F132" t="s">
        <v>142</v>
      </c>
      <c r="G132" t="s">
        <v>143</v>
      </c>
      <c r="H132" t="str">
        <f t="shared" ref="H132:H173" si="5">A132&amp;"-"&amp;F132</f>
        <v>SRC-901 Jacksonville FL-TR-5049</v>
      </c>
      <c r="I132" t="s">
        <v>12</v>
      </c>
      <c r="J132">
        <v>10</v>
      </c>
      <c r="K132" t="s">
        <v>24</v>
      </c>
      <c r="L132" t="s">
        <v>25</v>
      </c>
      <c r="M132">
        <v>950</v>
      </c>
      <c r="N132">
        <v>95</v>
      </c>
      <c r="O132">
        <v>92.1</v>
      </c>
    </row>
    <row r="133" spans="1:15" x14ac:dyDescent="0.25">
      <c r="A133" t="s">
        <v>11</v>
      </c>
      <c r="B133" t="s">
        <v>13</v>
      </c>
      <c r="C133" s="1">
        <v>46045</v>
      </c>
      <c r="D133" s="1">
        <v>46049</v>
      </c>
      <c r="E133" s="1" t="str">
        <f t="shared" si="4"/>
        <v>January 2026</v>
      </c>
      <c r="F133" t="s">
        <v>144</v>
      </c>
      <c r="G133" t="s">
        <v>145</v>
      </c>
      <c r="H133" t="str">
        <f t="shared" si="5"/>
        <v>SRC-901 Jacksonville FL-TR-5050</v>
      </c>
      <c r="I133" t="s">
        <v>12</v>
      </c>
      <c r="J133">
        <v>65</v>
      </c>
      <c r="K133" t="s">
        <v>32</v>
      </c>
      <c r="L133" t="s">
        <v>33</v>
      </c>
      <c r="M133">
        <v>3900</v>
      </c>
      <c r="N133">
        <v>60</v>
      </c>
      <c r="O133">
        <v>59.1</v>
      </c>
    </row>
    <row r="134" spans="1:15" x14ac:dyDescent="0.25">
      <c r="A134" t="s">
        <v>11</v>
      </c>
      <c r="B134" t="s">
        <v>13</v>
      </c>
      <c r="C134" s="1">
        <v>46045</v>
      </c>
      <c r="D134" s="1">
        <v>46049</v>
      </c>
      <c r="E134" s="1" t="str">
        <f t="shared" si="4"/>
        <v>January 2026</v>
      </c>
      <c r="F134" t="s">
        <v>144</v>
      </c>
      <c r="G134" t="s">
        <v>145</v>
      </c>
      <c r="H134" t="str">
        <f t="shared" si="5"/>
        <v>SRC-901 Jacksonville FL-TR-5050</v>
      </c>
      <c r="I134" t="s">
        <v>12</v>
      </c>
      <c r="J134">
        <v>8</v>
      </c>
      <c r="K134" t="s">
        <v>34</v>
      </c>
      <c r="L134" t="s">
        <v>35</v>
      </c>
      <c r="M134">
        <v>440</v>
      </c>
      <c r="N134">
        <v>55</v>
      </c>
      <c r="O134">
        <v>53.5</v>
      </c>
    </row>
    <row r="135" spans="1:15" x14ac:dyDescent="0.25">
      <c r="A135" t="s">
        <v>11</v>
      </c>
      <c r="B135" t="s">
        <v>17</v>
      </c>
      <c r="C135" s="1">
        <v>46059</v>
      </c>
      <c r="D135" s="1">
        <v>46063</v>
      </c>
      <c r="E135" s="1" t="str">
        <f t="shared" si="4"/>
        <v>February 2026</v>
      </c>
      <c r="F135" t="s">
        <v>146</v>
      </c>
      <c r="G135" t="s">
        <v>147</v>
      </c>
      <c r="H135" t="str">
        <f t="shared" si="5"/>
        <v>SRC-901 Jacksonville FL-TR-5051</v>
      </c>
      <c r="I135" t="s">
        <v>12</v>
      </c>
      <c r="J135">
        <v>175</v>
      </c>
      <c r="K135" t="s">
        <v>20</v>
      </c>
      <c r="L135" t="s">
        <v>21</v>
      </c>
      <c r="M135">
        <v>10500</v>
      </c>
      <c r="N135">
        <v>60</v>
      </c>
      <c r="O135">
        <v>58.5</v>
      </c>
    </row>
    <row r="136" spans="1:15" x14ac:dyDescent="0.25">
      <c r="A136" t="s">
        <v>11</v>
      </c>
      <c r="B136" t="s">
        <v>17</v>
      </c>
      <c r="C136" s="1">
        <v>46059</v>
      </c>
      <c r="D136" s="1">
        <v>46063</v>
      </c>
      <c r="E136" s="1" t="str">
        <f t="shared" si="4"/>
        <v>February 2026</v>
      </c>
      <c r="F136" t="s">
        <v>146</v>
      </c>
      <c r="G136" t="s">
        <v>147</v>
      </c>
      <c r="H136" t="str">
        <f t="shared" si="5"/>
        <v>SRC-901 Jacksonville FL-TR-5051</v>
      </c>
      <c r="I136" t="s">
        <v>12</v>
      </c>
      <c r="J136">
        <v>20</v>
      </c>
      <c r="K136" t="s">
        <v>22</v>
      </c>
      <c r="L136" t="s">
        <v>23</v>
      </c>
      <c r="M136">
        <v>1100</v>
      </c>
      <c r="N136">
        <v>55</v>
      </c>
      <c r="O136">
        <v>53.2</v>
      </c>
    </row>
    <row r="137" spans="1:15" x14ac:dyDescent="0.25">
      <c r="A137" t="s">
        <v>11</v>
      </c>
      <c r="B137" t="s">
        <v>17</v>
      </c>
      <c r="C137" s="1">
        <v>46059</v>
      </c>
      <c r="D137" s="1">
        <v>46063</v>
      </c>
      <c r="E137" s="1" t="str">
        <f t="shared" si="4"/>
        <v>February 2026</v>
      </c>
      <c r="F137" t="s">
        <v>146</v>
      </c>
      <c r="G137" t="s">
        <v>147</v>
      </c>
      <c r="H137" t="str">
        <f t="shared" si="5"/>
        <v>SRC-901 Jacksonville FL-TR-5051</v>
      </c>
      <c r="I137" t="s">
        <v>12</v>
      </c>
      <c r="J137">
        <v>15</v>
      </c>
      <c r="K137" t="s">
        <v>24</v>
      </c>
      <c r="L137" t="s">
        <v>25</v>
      </c>
      <c r="M137">
        <v>1425</v>
      </c>
      <c r="N137">
        <v>95</v>
      </c>
      <c r="O137">
        <v>92.1</v>
      </c>
    </row>
    <row r="138" spans="1:15" x14ac:dyDescent="0.25">
      <c r="A138" t="s">
        <v>11</v>
      </c>
      <c r="B138" t="s">
        <v>17</v>
      </c>
      <c r="C138" s="1">
        <v>46059</v>
      </c>
      <c r="D138" s="1">
        <v>46063</v>
      </c>
      <c r="E138" s="1" t="str">
        <f t="shared" si="4"/>
        <v>February 2026</v>
      </c>
      <c r="F138" t="s">
        <v>146</v>
      </c>
      <c r="G138" t="s">
        <v>147</v>
      </c>
      <c r="H138" t="str">
        <f t="shared" si="5"/>
        <v>SRC-901 Jacksonville FL-TR-5051</v>
      </c>
      <c r="I138" t="s">
        <v>12</v>
      </c>
      <c r="J138">
        <v>5</v>
      </c>
      <c r="K138" t="s">
        <v>47</v>
      </c>
      <c r="L138" t="s">
        <v>48</v>
      </c>
      <c r="M138" s="2">
        <v>300</v>
      </c>
      <c r="N138">
        <v>60</v>
      </c>
      <c r="O138">
        <v>57.5</v>
      </c>
    </row>
    <row r="139" spans="1:15" x14ac:dyDescent="0.25">
      <c r="A139" t="s">
        <v>11</v>
      </c>
      <c r="B139" t="s">
        <v>13</v>
      </c>
      <c r="C139" s="1">
        <v>46070</v>
      </c>
      <c r="D139" s="1">
        <v>46073</v>
      </c>
      <c r="E139" s="1" t="str">
        <f t="shared" si="4"/>
        <v>February 2026</v>
      </c>
      <c r="F139" t="s">
        <v>148</v>
      </c>
      <c r="G139" t="s">
        <v>149</v>
      </c>
      <c r="H139" t="str">
        <f t="shared" si="5"/>
        <v>SRC-901 Jacksonville FL-TR-5052</v>
      </c>
      <c r="I139" t="s">
        <v>12</v>
      </c>
      <c r="J139">
        <v>100</v>
      </c>
      <c r="K139" t="s">
        <v>45</v>
      </c>
      <c r="L139" t="s">
        <v>46</v>
      </c>
      <c r="M139" s="2">
        <v>5000</v>
      </c>
      <c r="N139">
        <v>50</v>
      </c>
      <c r="O139">
        <v>48</v>
      </c>
    </row>
    <row r="140" spans="1:15" x14ac:dyDescent="0.25">
      <c r="A140" t="s">
        <v>11</v>
      </c>
      <c r="B140" t="s">
        <v>13</v>
      </c>
      <c r="C140" s="1">
        <v>46070</v>
      </c>
      <c r="D140" s="1">
        <v>46073</v>
      </c>
      <c r="E140" s="1" t="str">
        <f t="shared" si="4"/>
        <v>February 2026</v>
      </c>
      <c r="F140" t="s">
        <v>148</v>
      </c>
      <c r="G140" t="s">
        <v>149</v>
      </c>
      <c r="H140" t="str">
        <f t="shared" si="5"/>
        <v>SRC-901 Jacksonville FL-TR-5052</v>
      </c>
      <c r="I140" t="s">
        <v>12</v>
      </c>
      <c r="J140">
        <v>12</v>
      </c>
      <c r="K140" t="s">
        <v>68</v>
      </c>
      <c r="L140" t="s">
        <v>69</v>
      </c>
      <c r="M140">
        <v>432</v>
      </c>
      <c r="N140">
        <v>36</v>
      </c>
      <c r="O140">
        <v>34</v>
      </c>
    </row>
    <row r="141" spans="1:15" x14ac:dyDescent="0.25">
      <c r="A141" t="s">
        <v>11</v>
      </c>
      <c r="B141" t="s">
        <v>17</v>
      </c>
      <c r="C141" s="1">
        <v>46087</v>
      </c>
      <c r="D141" s="1">
        <v>46091</v>
      </c>
      <c r="E141" s="1" t="str">
        <f t="shared" si="4"/>
        <v>March 2026</v>
      </c>
      <c r="F141" t="s">
        <v>150</v>
      </c>
      <c r="G141" t="s">
        <v>151</v>
      </c>
      <c r="H141" t="str">
        <f t="shared" si="5"/>
        <v>SRC-901 Jacksonville FL-TR-5053</v>
      </c>
      <c r="I141" t="s">
        <v>12</v>
      </c>
      <c r="J141">
        <v>240</v>
      </c>
      <c r="K141" t="s">
        <v>32</v>
      </c>
      <c r="L141" t="s">
        <v>33</v>
      </c>
      <c r="M141">
        <v>14400</v>
      </c>
      <c r="N141">
        <v>60</v>
      </c>
      <c r="O141">
        <v>59.1</v>
      </c>
    </row>
    <row r="142" spans="1:15" x14ac:dyDescent="0.25">
      <c r="A142" t="s">
        <v>11</v>
      </c>
      <c r="B142" t="s">
        <v>17</v>
      </c>
      <c r="C142" s="1">
        <v>46087</v>
      </c>
      <c r="D142" s="1">
        <v>46091</v>
      </c>
      <c r="E142" s="1" t="str">
        <f t="shared" si="4"/>
        <v>March 2026</v>
      </c>
      <c r="F142" t="s">
        <v>150</v>
      </c>
      <c r="G142" t="s">
        <v>151</v>
      </c>
      <c r="H142" t="str">
        <f t="shared" si="5"/>
        <v>SRC-901 Jacksonville FL-TR-5053</v>
      </c>
      <c r="I142" t="s">
        <v>12</v>
      </c>
      <c r="J142">
        <v>28</v>
      </c>
      <c r="K142" t="s">
        <v>34</v>
      </c>
      <c r="L142" t="s">
        <v>35</v>
      </c>
      <c r="M142">
        <v>1540</v>
      </c>
      <c r="N142">
        <v>55</v>
      </c>
      <c r="O142">
        <v>53.5</v>
      </c>
    </row>
    <row r="143" spans="1:15" x14ac:dyDescent="0.25">
      <c r="A143" t="s">
        <v>11</v>
      </c>
      <c r="B143" t="s">
        <v>17</v>
      </c>
      <c r="C143" s="1">
        <v>46087</v>
      </c>
      <c r="D143" s="1">
        <v>46091</v>
      </c>
      <c r="E143" s="1" t="str">
        <f t="shared" si="4"/>
        <v>March 2026</v>
      </c>
      <c r="F143" t="s">
        <v>150</v>
      </c>
      <c r="G143" t="s">
        <v>151</v>
      </c>
      <c r="H143" t="str">
        <f t="shared" si="5"/>
        <v>SRC-901 Jacksonville FL-TR-5053</v>
      </c>
      <c r="I143" t="s">
        <v>12</v>
      </c>
      <c r="J143">
        <v>20</v>
      </c>
      <c r="K143" t="s">
        <v>24</v>
      </c>
      <c r="L143" t="s">
        <v>25</v>
      </c>
      <c r="M143" s="2">
        <v>1900</v>
      </c>
      <c r="N143">
        <v>95</v>
      </c>
      <c r="O143">
        <v>92.1</v>
      </c>
    </row>
    <row r="144" spans="1:15" x14ac:dyDescent="0.25">
      <c r="A144" t="s">
        <v>11</v>
      </c>
      <c r="B144" t="s">
        <v>17</v>
      </c>
      <c r="C144" s="1">
        <v>46087</v>
      </c>
      <c r="D144" s="1">
        <v>46091</v>
      </c>
      <c r="E144" s="1" t="str">
        <f t="shared" si="4"/>
        <v>March 2026</v>
      </c>
      <c r="F144" t="s">
        <v>150</v>
      </c>
      <c r="G144" t="s">
        <v>151</v>
      </c>
      <c r="H144" t="str">
        <f t="shared" si="5"/>
        <v>SRC-901 Jacksonville FL-TR-5053</v>
      </c>
      <c r="I144" t="s">
        <v>12</v>
      </c>
      <c r="J144">
        <v>8</v>
      </c>
      <c r="K144" t="s">
        <v>47</v>
      </c>
      <c r="L144" t="s">
        <v>48</v>
      </c>
      <c r="M144" s="2">
        <v>480</v>
      </c>
      <c r="N144">
        <v>60</v>
      </c>
      <c r="O144">
        <v>57.5</v>
      </c>
    </row>
    <row r="145" spans="1:15" x14ac:dyDescent="0.25">
      <c r="A145" t="s">
        <v>11</v>
      </c>
      <c r="B145" t="s">
        <v>36</v>
      </c>
      <c r="C145" s="1">
        <v>46101</v>
      </c>
      <c r="D145" s="1">
        <v>46105</v>
      </c>
      <c r="E145" s="1" t="str">
        <f t="shared" si="4"/>
        <v>March 2026</v>
      </c>
      <c r="F145" t="s">
        <v>152</v>
      </c>
      <c r="G145" t="s">
        <v>153</v>
      </c>
      <c r="H145" t="str">
        <f t="shared" si="5"/>
        <v>SRC-901 Jacksonville FL-TR-5054</v>
      </c>
      <c r="I145" t="s">
        <v>12</v>
      </c>
      <c r="J145">
        <v>16</v>
      </c>
      <c r="K145" t="s">
        <v>39</v>
      </c>
      <c r="L145" t="s">
        <v>40</v>
      </c>
      <c r="M145">
        <v>240</v>
      </c>
      <c r="N145">
        <v>15</v>
      </c>
      <c r="O145">
        <v>14.2</v>
      </c>
    </row>
    <row r="146" spans="1:15" x14ac:dyDescent="0.25">
      <c r="A146" t="s">
        <v>11</v>
      </c>
      <c r="B146" t="s">
        <v>36</v>
      </c>
      <c r="C146" s="1">
        <v>46101</v>
      </c>
      <c r="D146" s="1">
        <v>46105</v>
      </c>
      <c r="E146" s="1" t="str">
        <f t="shared" si="4"/>
        <v>March 2026</v>
      </c>
      <c r="F146" t="s">
        <v>152</v>
      </c>
      <c r="G146" t="s">
        <v>153</v>
      </c>
      <c r="H146" t="str">
        <f t="shared" si="5"/>
        <v>SRC-901 Jacksonville FL-TR-5054</v>
      </c>
      <c r="I146" t="s">
        <v>12</v>
      </c>
      <c r="J146">
        <v>25</v>
      </c>
      <c r="K146" t="s">
        <v>66</v>
      </c>
      <c r="L146" t="s">
        <v>67</v>
      </c>
      <c r="M146">
        <v>625</v>
      </c>
      <c r="N146">
        <v>25</v>
      </c>
      <c r="O146">
        <v>23.8</v>
      </c>
    </row>
    <row r="147" spans="1:15" x14ac:dyDescent="0.25">
      <c r="A147" t="s">
        <v>11</v>
      </c>
      <c r="B147" t="s">
        <v>13</v>
      </c>
      <c r="C147" s="1">
        <v>46122</v>
      </c>
      <c r="D147" s="1">
        <v>46126</v>
      </c>
      <c r="E147" s="1" t="str">
        <f t="shared" si="4"/>
        <v>April 2026</v>
      </c>
      <c r="F147" t="s">
        <v>154</v>
      </c>
      <c r="G147" t="s">
        <v>155</v>
      </c>
      <c r="H147" t="str">
        <f t="shared" si="5"/>
        <v>SRC-901 Jacksonville FL-TR-5055</v>
      </c>
      <c r="I147" t="s">
        <v>12</v>
      </c>
      <c r="J147">
        <v>105</v>
      </c>
      <c r="K147" t="s">
        <v>20</v>
      </c>
      <c r="L147" t="s">
        <v>21</v>
      </c>
      <c r="M147" s="2">
        <v>6300</v>
      </c>
      <c r="N147">
        <v>60</v>
      </c>
      <c r="O147">
        <v>58.5</v>
      </c>
    </row>
    <row r="148" spans="1:15" x14ac:dyDescent="0.25">
      <c r="A148" t="s">
        <v>11</v>
      </c>
      <c r="B148" t="s">
        <v>13</v>
      </c>
      <c r="C148" s="1">
        <v>46122</v>
      </c>
      <c r="D148" s="1">
        <v>46126</v>
      </c>
      <c r="E148" s="1" t="str">
        <f t="shared" si="4"/>
        <v>April 2026</v>
      </c>
      <c r="F148" t="s">
        <v>154</v>
      </c>
      <c r="G148" t="s">
        <v>155</v>
      </c>
      <c r="H148" t="str">
        <f t="shared" si="5"/>
        <v>SRC-901 Jacksonville FL-TR-5055</v>
      </c>
      <c r="I148" t="s">
        <v>12</v>
      </c>
      <c r="J148">
        <v>14</v>
      </c>
      <c r="K148" t="s">
        <v>22</v>
      </c>
      <c r="L148" t="s">
        <v>23</v>
      </c>
      <c r="M148">
        <v>770</v>
      </c>
      <c r="N148">
        <v>55</v>
      </c>
      <c r="O148">
        <v>53.2</v>
      </c>
    </row>
    <row r="149" spans="1:15" x14ac:dyDescent="0.25">
      <c r="A149" t="s">
        <v>11</v>
      </c>
      <c r="B149" t="s">
        <v>17</v>
      </c>
      <c r="C149" s="1">
        <v>46136</v>
      </c>
      <c r="D149" s="1">
        <v>46140</v>
      </c>
      <c r="E149" s="1" t="str">
        <f t="shared" si="4"/>
        <v>April 2026</v>
      </c>
      <c r="F149" t="s">
        <v>156</v>
      </c>
      <c r="G149" t="s">
        <v>157</v>
      </c>
      <c r="H149" t="str">
        <f t="shared" si="5"/>
        <v>SRC-901 Jacksonville FL-TR-5056</v>
      </c>
      <c r="I149" t="s">
        <v>12</v>
      </c>
      <c r="J149">
        <v>225</v>
      </c>
      <c r="K149" t="s">
        <v>20</v>
      </c>
      <c r="L149" t="s">
        <v>21</v>
      </c>
      <c r="M149" s="2">
        <v>13500</v>
      </c>
      <c r="N149">
        <v>60</v>
      </c>
      <c r="O149">
        <v>58.5</v>
      </c>
    </row>
    <row r="150" spans="1:15" x14ac:dyDescent="0.25">
      <c r="A150" t="s">
        <v>11</v>
      </c>
      <c r="B150" t="s">
        <v>17</v>
      </c>
      <c r="C150" s="1">
        <v>46136</v>
      </c>
      <c r="D150" s="1">
        <v>46140</v>
      </c>
      <c r="E150" s="1" t="str">
        <f t="shared" si="4"/>
        <v>April 2026</v>
      </c>
      <c r="F150" t="s">
        <v>156</v>
      </c>
      <c r="G150" t="s">
        <v>157</v>
      </c>
      <c r="H150" t="str">
        <f t="shared" si="5"/>
        <v>SRC-901 Jacksonville FL-TR-5056</v>
      </c>
      <c r="I150" t="s">
        <v>12</v>
      </c>
      <c r="J150">
        <v>26</v>
      </c>
      <c r="K150" t="s">
        <v>22</v>
      </c>
      <c r="L150" t="s">
        <v>23</v>
      </c>
      <c r="M150" s="2">
        <v>1430</v>
      </c>
      <c r="N150">
        <v>55</v>
      </c>
      <c r="O150">
        <v>53.2</v>
      </c>
    </row>
    <row r="151" spans="1:15" x14ac:dyDescent="0.25">
      <c r="A151" t="s">
        <v>11</v>
      </c>
      <c r="B151" t="s">
        <v>17</v>
      </c>
      <c r="C151" s="1">
        <v>46136</v>
      </c>
      <c r="D151" s="1">
        <v>46140</v>
      </c>
      <c r="E151" s="1" t="str">
        <f t="shared" si="4"/>
        <v>April 2026</v>
      </c>
      <c r="F151" t="s">
        <v>156</v>
      </c>
      <c r="G151" t="s">
        <v>157</v>
      </c>
      <c r="H151" t="str">
        <f t="shared" si="5"/>
        <v>SRC-901 Jacksonville FL-TR-5056</v>
      </c>
      <c r="I151" t="s">
        <v>12</v>
      </c>
      <c r="J151">
        <v>18</v>
      </c>
      <c r="K151" t="s">
        <v>24</v>
      </c>
      <c r="L151" t="s">
        <v>25</v>
      </c>
      <c r="M151">
        <v>1710</v>
      </c>
      <c r="N151">
        <v>95</v>
      </c>
      <c r="O151">
        <v>92.1</v>
      </c>
    </row>
    <row r="152" spans="1:15" x14ac:dyDescent="0.25">
      <c r="A152" t="s">
        <v>11</v>
      </c>
      <c r="B152" t="s">
        <v>17</v>
      </c>
      <c r="C152" s="1">
        <v>46136</v>
      </c>
      <c r="D152" s="1">
        <v>46140</v>
      </c>
      <c r="E152" s="1" t="str">
        <f t="shared" si="4"/>
        <v>April 2026</v>
      </c>
      <c r="F152" t="s">
        <v>156</v>
      </c>
      <c r="G152" t="s">
        <v>157</v>
      </c>
      <c r="H152" t="str">
        <f t="shared" si="5"/>
        <v>SRC-901 Jacksonville FL-TR-5056</v>
      </c>
      <c r="I152" t="s">
        <v>12</v>
      </c>
      <c r="J152">
        <v>10</v>
      </c>
      <c r="K152" t="s">
        <v>70</v>
      </c>
      <c r="L152" t="s">
        <v>71</v>
      </c>
      <c r="M152" s="2">
        <v>1200</v>
      </c>
      <c r="N152">
        <v>120</v>
      </c>
      <c r="O152">
        <v>114</v>
      </c>
    </row>
    <row r="153" spans="1:15" x14ac:dyDescent="0.25">
      <c r="A153" t="s">
        <v>11</v>
      </c>
      <c r="B153" t="s">
        <v>14</v>
      </c>
      <c r="C153" s="1">
        <v>46150</v>
      </c>
      <c r="D153" s="1">
        <v>46154</v>
      </c>
      <c r="E153" s="1" t="str">
        <f t="shared" si="4"/>
        <v>May 2026</v>
      </c>
      <c r="F153" t="s">
        <v>158</v>
      </c>
      <c r="G153" t="s">
        <v>159</v>
      </c>
      <c r="H153" t="str">
        <f t="shared" si="5"/>
        <v>SRC-901 Jacksonville FL-TR-5057</v>
      </c>
      <c r="I153" t="s">
        <v>12</v>
      </c>
      <c r="J153">
        <v>25</v>
      </c>
      <c r="K153" t="s">
        <v>28</v>
      </c>
      <c r="L153" t="s">
        <v>29</v>
      </c>
      <c r="M153">
        <v>10000</v>
      </c>
      <c r="N153">
        <v>400</v>
      </c>
      <c r="O153">
        <v>385</v>
      </c>
    </row>
    <row r="154" spans="1:15" x14ac:dyDescent="0.25">
      <c r="A154" t="s">
        <v>11</v>
      </c>
      <c r="B154" t="s">
        <v>14</v>
      </c>
      <c r="C154" s="1">
        <v>46150</v>
      </c>
      <c r="D154" s="1">
        <v>46154</v>
      </c>
      <c r="E154" s="1" t="str">
        <f t="shared" si="4"/>
        <v>May 2026</v>
      </c>
      <c r="F154" t="s">
        <v>158</v>
      </c>
      <c r="G154" t="s">
        <v>159</v>
      </c>
      <c r="H154" t="str">
        <f t="shared" si="5"/>
        <v>SRC-901 Jacksonville FL-TR-5057</v>
      </c>
      <c r="I154" t="s">
        <v>12</v>
      </c>
      <c r="J154">
        <v>7</v>
      </c>
      <c r="K154" t="s">
        <v>64</v>
      </c>
      <c r="L154" t="s">
        <v>65</v>
      </c>
      <c r="M154" s="2">
        <v>770</v>
      </c>
      <c r="N154">
        <v>110</v>
      </c>
      <c r="O154">
        <v>104.5</v>
      </c>
    </row>
    <row r="155" spans="1:15" x14ac:dyDescent="0.25">
      <c r="A155" t="s">
        <v>11</v>
      </c>
      <c r="B155" t="s">
        <v>17</v>
      </c>
      <c r="C155" s="1">
        <v>46164</v>
      </c>
      <c r="D155" s="1">
        <v>46168</v>
      </c>
      <c r="E155" s="1" t="str">
        <f t="shared" si="4"/>
        <v>May 2026</v>
      </c>
      <c r="F155" t="s">
        <v>160</v>
      </c>
      <c r="G155" t="s">
        <v>161</v>
      </c>
      <c r="H155" t="str">
        <f t="shared" si="5"/>
        <v>SRC-901 Jacksonville FL-TR-5058</v>
      </c>
      <c r="I155" t="s">
        <v>12</v>
      </c>
      <c r="J155">
        <v>190</v>
      </c>
      <c r="K155" t="s">
        <v>32</v>
      </c>
      <c r="L155" t="s">
        <v>33</v>
      </c>
      <c r="M155">
        <v>11400</v>
      </c>
      <c r="N155">
        <v>60</v>
      </c>
      <c r="O155">
        <v>59.1</v>
      </c>
    </row>
    <row r="156" spans="1:15" x14ac:dyDescent="0.25">
      <c r="A156" t="s">
        <v>11</v>
      </c>
      <c r="B156" t="s">
        <v>17</v>
      </c>
      <c r="C156" s="1">
        <v>46164</v>
      </c>
      <c r="D156" s="1">
        <v>46168</v>
      </c>
      <c r="E156" s="1" t="str">
        <f t="shared" si="4"/>
        <v>May 2026</v>
      </c>
      <c r="F156" t="s">
        <v>160</v>
      </c>
      <c r="G156" t="s">
        <v>161</v>
      </c>
      <c r="H156" t="str">
        <f t="shared" si="5"/>
        <v>SRC-901 Jacksonville FL-TR-5058</v>
      </c>
      <c r="I156" t="s">
        <v>12</v>
      </c>
      <c r="J156">
        <v>22</v>
      </c>
      <c r="K156" t="s">
        <v>34</v>
      </c>
      <c r="L156" t="s">
        <v>35</v>
      </c>
      <c r="M156" s="2">
        <v>1210</v>
      </c>
      <c r="N156">
        <v>55</v>
      </c>
      <c r="O156">
        <v>53.5</v>
      </c>
    </row>
    <row r="157" spans="1:15" x14ac:dyDescent="0.25">
      <c r="A157" t="s">
        <v>11</v>
      </c>
      <c r="B157" t="s">
        <v>17</v>
      </c>
      <c r="C157" s="1">
        <v>46164</v>
      </c>
      <c r="D157" s="1">
        <v>46168</v>
      </c>
      <c r="E157" s="1" t="str">
        <f t="shared" si="4"/>
        <v>May 2026</v>
      </c>
      <c r="F157" t="s">
        <v>160</v>
      </c>
      <c r="G157" t="s">
        <v>161</v>
      </c>
      <c r="H157" t="str">
        <f t="shared" si="5"/>
        <v>SRC-901 Jacksonville FL-TR-5058</v>
      </c>
      <c r="I157" t="s">
        <v>12</v>
      </c>
      <c r="J157">
        <v>15</v>
      </c>
      <c r="K157" t="s">
        <v>24</v>
      </c>
      <c r="L157" t="s">
        <v>25</v>
      </c>
      <c r="M157">
        <v>1425</v>
      </c>
      <c r="N157">
        <v>95</v>
      </c>
      <c r="O157">
        <v>92.1</v>
      </c>
    </row>
    <row r="158" spans="1:15" x14ac:dyDescent="0.25">
      <c r="A158" t="s">
        <v>11</v>
      </c>
      <c r="B158" t="s">
        <v>13</v>
      </c>
      <c r="C158" s="1">
        <v>46192</v>
      </c>
      <c r="D158" s="1">
        <v>46196</v>
      </c>
      <c r="E158" s="1" t="str">
        <f t="shared" si="4"/>
        <v>June 2026</v>
      </c>
      <c r="F158" t="s">
        <v>162</v>
      </c>
      <c r="G158" t="s">
        <v>163</v>
      </c>
      <c r="H158" t="str">
        <f t="shared" si="5"/>
        <v>SRC-901 Jacksonville FL-TR-5059</v>
      </c>
      <c r="I158" t="s">
        <v>12</v>
      </c>
      <c r="J158">
        <v>110</v>
      </c>
      <c r="K158" t="s">
        <v>20</v>
      </c>
      <c r="L158" t="s">
        <v>21</v>
      </c>
      <c r="M158" s="2">
        <v>6600</v>
      </c>
      <c r="N158">
        <v>60</v>
      </c>
      <c r="O158">
        <v>58.5</v>
      </c>
    </row>
    <row r="159" spans="1:15" x14ac:dyDescent="0.25">
      <c r="A159" t="s">
        <v>11</v>
      </c>
      <c r="B159" t="s">
        <v>13</v>
      </c>
      <c r="C159" s="1">
        <v>46192</v>
      </c>
      <c r="D159" s="1">
        <v>46196</v>
      </c>
      <c r="E159" s="1" t="str">
        <f t="shared" si="4"/>
        <v>June 2026</v>
      </c>
      <c r="F159" t="s">
        <v>162</v>
      </c>
      <c r="G159" t="s">
        <v>163</v>
      </c>
      <c r="H159" t="str">
        <f t="shared" si="5"/>
        <v>SRC-901 Jacksonville FL-TR-5059</v>
      </c>
      <c r="I159" t="s">
        <v>12</v>
      </c>
      <c r="J159">
        <v>14</v>
      </c>
      <c r="K159" t="s">
        <v>22</v>
      </c>
      <c r="L159" t="s">
        <v>23</v>
      </c>
      <c r="M159" s="2">
        <v>770</v>
      </c>
      <c r="N159">
        <v>55</v>
      </c>
      <c r="O159">
        <v>53.2</v>
      </c>
    </row>
    <row r="160" spans="1:15" x14ac:dyDescent="0.25">
      <c r="A160" t="s">
        <v>11</v>
      </c>
      <c r="B160" t="s">
        <v>13</v>
      </c>
      <c r="C160" s="1">
        <v>46192</v>
      </c>
      <c r="D160" s="1">
        <v>46196</v>
      </c>
      <c r="E160" s="1" t="str">
        <f t="shared" si="4"/>
        <v>June 2026</v>
      </c>
      <c r="F160" t="s">
        <v>162</v>
      </c>
      <c r="G160" t="s">
        <v>163</v>
      </c>
      <c r="H160" t="str">
        <f t="shared" si="5"/>
        <v>SRC-901 Jacksonville FL-TR-5059</v>
      </c>
      <c r="I160" t="s">
        <v>12</v>
      </c>
      <c r="J160">
        <v>10</v>
      </c>
      <c r="K160" t="s">
        <v>24</v>
      </c>
      <c r="L160" t="s">
        <v>25</v>
      </c>
      <c r="M160" s="2">
        <v>950</v>
      </c>
      <c r="N160">
        <v>95</v>
      </c>
      <c r="O160">
        <v>92.1</v>
      </c>
    </row>
    <row r="161" spans="1:15" x14ac:dyDescent="0.25">
      <c r="A161" t="s">
        <v>11</v>
      </c>
      <c r="B161" t="s">
        <v>17</v>
      </c>
      <c r="C161" s="1">
        <v>46220</v>
      </c>
      <c r="D161" s="1">
        <v>46224</v>
      </c>
      <c r="E161" s="1" t="str">
        <f t="shared" si="4"/>
        <v>July 2026</v>
      </c>
      <c r="F161" t="s">
        <v>164</v>
      </c>
      <c r="G161" t="s">
        <v>165</v>
      </c>
      <c r="H161" t="str">
        <f t="shared" si="5"/>
        <v>SRC-901 Jacksonville FL-TR-5060</v>
      </c>
      <c r="I161" t="s">
        <v>12</v>
      </c>
      <c r="J161">
        <v>210</v>
      </c>
      <c r="K161" t="s">
        <v>20</v>
      </c>
      <c r="L161" t="s">
        <v>21</v>
      </c>
      <c r="M161" s="2">
        <v>12600</v>
      </c>
      <c r="N161">
        <v>60</v>
      </c>
      <c r="O161">
        <v>58.5</v>
      </c>
    </row>
    <row r="162" spans="1:15" x14ac:dyDescent="0.25">
      <c r="A162" t="s">
        <v>11</v>
      </c>
      <c r="B162" t="s">
        <v>17</v>
      </c>
      <c r="C162" s="1">
        <v>46220</v>
      </c>
      <c r="D162" s="1">
        <v>46224</v>
      </c>
      <c r="E162" s="1" t="str">
        <f t="shared" si="4"/>
        <v>July 2026</v>
      </c>
      <c r="F162" t="s">
        <v>164</v>
      </c>
      <c r="G162" t="s">
        <v>165</v>
      </c>
      <c r="H162" t="str">
        <f t="shared" si="5"/>
        <v>SRC-901 Jacksonville FL-TR-5060</v>
      </c>
      <c r="I162" t="s">
        <v>12</v>
      </c>
      <c r="J162">
        <v>24</v>
      </c>
      <c r="K162" t="s">
        <v>22</v>
      </c>
      <c r="L162" t="s">
        <v>23</v>
      </c>
      <c r="M162" s="2">
        <v>1320</v>
      </c>
      <c r="N162">
        <v>55</v>
      </c>
      <c r="O162">
        <v>53.2</v>
      </c>
    </row>
    <row r="163" spans="1:15" x14ac:dyDescent="0.25">
      <c r="A163" t="s">
        <v>11</v>
      </c>
      <c r="B163" t="s">
        <v>17</v>
      </c>
      <c r="C163" s="1">
        <v>46220</v>
      </c>
      <c r="D163" s="1">
        <v>46224</v>
      </c>
      <c r="E163" s="1" t="str">
        <f t="shared" si="4"/>
        <v>July 2026</v>
      </c>
      <c r="F163" t="s">
        <v>164</v>
      </c>
      <c r="G163" t="s">
        <v>165</v>
      </c>
      <c r="H163" t="str">
        <f t="shared" si="5"/>
        <v>SRC-901 Jacksonville FL-TR-5060</v>
      </c>
      <c r="I163" t="s">
        <v>12</v>
      </c>
      <c r="J163">
        <v>16</v>
      </c>
      <c r="K163" t="s">
        <v>24</v>
      </c>
      <c r="L163" t="s">
        <v>25</v>
      </c>
      <c r="M163">
        <v>1520</v>
      </c>
      <c r="N163">
        <v>95</v>
      </c>
      <c r="O163">
        <v>92.1</v>
      </c>
    </row>
    <row r="164" spans="1:15" x14ac:dyDescent="0.25">
      <c r="A164" t="s">
        <v>11</v>
      </c>
      <c r="B164" t="s">
        <v>17</v>
      </c>
      <c r="C164" s="1">
        <v>46220</v>
      </c>
      <c r="D164" s="1">
        <v>46224</v>
      </c>
      <c r="E164" s="1" t="str">
        <f t="shared" si="4"/>
        <v>July 2026</v>
      </c>
      <c r="F164" t="s">
        <v>164</v>
      </c>
      <c r="G164" t="s">
        <v>165</v>
      </c>
      <c r="H164" t="str">
        <f t="shared" si="5"/>
        <v>SRC-901 Jacksonville FL-TR-5060</v>
      </c>
      <c r="I164" t="s">
        <v>12</v>
      </c>
      <c r="J164">
        <v>6</v>
      </c>
      <c r="K164" t="s">
        <v>47</v>
      </c>
      <c r="L164" t="s">
        <v>48</v>
      </c>
      <c r="M164">
        <v>360</v>
      </c>
      <c r="N164">
        <v>60</v>
      </c>
      <c r="O164">
        <v>57.5</v>
      </c>
    </row>
    <row r="165" spans="1:15" x14ac:dyDescent="0.25">
      <c r="A165" t="s">
        <v>11</v>
      </c>
      <c r="B165" t="s">
        <v>17</v>
      </c>
      <c r="C165" s="1">
        <v>46248</v>
      </c>
      <c r="D165" s="1">
        <v>46252</v>
      </c>
      <c r="E165" s="1" t="str">
        <f t="shared" si="4"/>
        <v>August 2026</v>
      </c>
      <c r="F165" t="s">
        <v>166</v>
      </c>
      <c r="G165" t="s">
        <v>167</v>
      </c>
      <c r="H165" t="str">
        <f t="shared" si="5"/>
        <v>SRC-901 Jacksonville FL-TR-5061</v>
      </c>
      <c r="I165" t="s">
        <v>12</v>
      </c>
      <c r="J165">
        <v>180</v>
      </c>
      <c r="K165" t="s">
        <v>32</v>
      </c>
      <c r="L165" t="s">
        <v>33</v>
      </c>
      <c r="M165" s="2">
        <v>10800</v>
      </c>
      <c r="N165">
        <v>60</v>
      </c>
      <c r="O165">
        <v>59.1</v>
      </c>
    </row>
    <row r="166" spans="1:15" x14ac:dyDescent="0.25">
      <c r="A166" t="s">
        <v>11</v>
      </c>
      <c r="B166" t="s">
        <v>17</v>
      </c>
      <c r="C166" s="1">
        <v>46248</v>
      </c>
      <c r="D166" s="1">
        <v>46252</v>
      </c>
      <c r="E166" s="1" t="str">
        <f t="shared" si="4"/>
        <v>August 2026</v>
      </c>
      <c r="F166" t="s">
        <v>166</v>
      </c>
      <c r="G166" t="s">
        <v>167</v>
      </c>
      <c r="H166" t="str">
        <f t="shared" si="5"/>
        <v>SRC-901 Jacksonville FL-TR-5061</v>
      </c>
      <c r="I166" t="s">
        <v>12</v>
      </c>
      <c r="J166">
        <v>20</v>
      </c>
      <c r="K166" t="s">
        <v>34</v>
      </c>
      <c r="L166" t="s">
        <v>35</v>
      </c>
      <c r="M166" s="2">
        <v>1100</v>
      </c>
      <c r="N166">
        <v>55</v>
      </c>
      <c r="O166">
        <v>53.5</v>
      </c>
    </row>
    <row r="167" spans="1:15" x14ac:dyDescent="0.25">
      <c r="A167" t="s">
        <v>11</v>
      </c>
      <c r="B167" t="s">
        <v>17</v>
      </c>
      <c r="C167" s="1">
        <v>46248</v>
      </c>
      <c r="D167" s="1">
        <v>46252</v>
      </c>
      <c r="E167" s="1" t="str">
        <f t="shared" si="4"/>
        <v>August 2026</v>
      </c>
      <c r="F167" t="s">
        <v>166</v>
      </c>
      <c r="G167" t="s">
        <v>167</v>
      </c>
      <c r="H167" t="str">
        <f t="shared" si="5"/>
        <v>SRC-901 Jacksonville FL-TR-5061</v>
      </c>
      <c r="I167" t="s">
        <v>12</v>
      </c>
      <c r="J167">
        <v>14</v>
      </c>
      <c r="K167" t="s">
        <v>24</v>
      </c>
      <c r="L167" t="s">
        <v>25</v>
      </c>
      <c r="M167">
        <v>1330</v>
      </c>
      <c r="N167">
        <v>95</v>
      </c>
      <c r="O167">
        <v>92.1</v>
      </c>
    </row>
    <row r="168" spans="1:15" x14ac:dyDescent="0.25">
      <c r="A168" t="s">
        <v>11</v>
      </c>
      <c r="B168" t="s">
        <v>13</v>
      </c>
      <c r="C168" s="1">
        <v>46283</v>
      </c>
      <c r="D168" s="1">
        <v>46287</v>
      </c>
      <c r="E168" s="1" t="str">
        <f t="shared" si="4"/>
        <v>September 2026</v>
      </c>
      <c r="F168" t="s">
        <v>168</v>
      </c>
      <c r="G168" t="s">
        <v>169</v>
      </c>
      <c r="H168" t="str">
        <f t="shared" si="5"/>
        <v>SRC-901 Jacksonville FL-TR-5062</v>
      </c>
      <c r="I168" t="s">
        <v>12</v>
      </c>
      <c r="J168">
        <v>95</v>
      </c>
      <c r="K168" t="s">
        <v>20</v>
      </c>
      <c r="L168" t="s">
        <v>21</v>
      </c>
      <c r="M168" s="2">
        <v>5700</v>
      </c>
      <c r="N168">
        <v>60</v>
      </c>
      <c r="O168">
        <v>58.5</v>
      </c>
    </row>
    <row r="169" spans="1:15" x14ac:dyDescent="0.25">
      <c r="A169" t="s">
        <v>11</v>
      </c>
      <c r="B169" t="s">
        <v>13</v>
      </c>
      <c r="C169" s="1">
        <v>46283</v>
      </c>
      <c r="D169" s="1">
        <v>46287</v>
      </c>
      <c r="E169" s="1" t="str">
        <f t="shared" si="4"/>
        <v>September 2026</v>
      </c>
      <c r="F169" t="s">
        <v>168</v>
      </c>
      <c r="G169" t="s">
        <v>169</v>
      </c>
      <c r="H169" t="str">
        <f t="shared" si="5"/>
        <v>SRC-901 Jacksonville FL-TR-5062</v>
      </c>
      <c r="I169" t="s">
        <v>12</v>
      </c>
      <c r="J169">
        <v>12</v>
      </c>
      <c r="K169" t="s">
        <v>22</v>
      </c>
      <c r="L169" t="s">
        <v>23</v>
      </c>
      <c r="M169" s="2">
        <v>660</v>
      </c>
      <c r="N169">
        <v>55</v>
      </c>
      <c r="O169">
        <v>53.2</v>
      </c>
    </row>
    <row r="170" spans="1:15" x14ac:dyDescent="0.25">
      <c r="A170" t="s">
        <v>11</v>
      </c>
      <c r="B170" t="s">
        <v>17</v>
      </c>
      <c r="C170" s="1">
        <v>46350</v>
      </c>
      <c r="D170" s="1">
        <v>46353</v>
      </c>
      <c r="E170" s="1" t="str">
        <f t="shared" si="4"/>
        <v>November 2026</v>
      </c>
      <c r="F170" t="s">
        <v>170</v>
      </c>
      <c r="G170" t="s">
        <v>171</v>
      </c>
      <c r="H170" t="str">
        <f t="shared" si="5"/>
        <v>SRC-901 Jacksonville FL-TR-5063</v>
      </c>
      <c r="I170" t="s">
        <v>12</v>
      </c>
      <c r="J170">
        <v>240</v>
      </c>
      <c r="K170" t="s">
        <v>20</v>
      </c>
      <c r="L170" t="s">
        <v>21</v>
      </c>
      <c r="M170">
        <v>14400</v>
      </c>
      <c r="N170">
        <v>60</v>
      </c>
      <c r="O170">
        <v>58.5</v>
      </c>
    </row>
    <row r="171" spans="1:15" x14ac:dyDescent="0.25">
      <c r="A171" t="s">
        <v>11</v>
      </c>
      <c r="B171" t="s">
        <v>17</v>
      </c>
      <c r="C171" s="1">
        <v>46350</v>
      </c>
      <c r="D171" s="1">
        <v>46353</v>
      </c>
      <c r="E171" s="1" t="str">
        <f t="shared" si="4"/>
        <v>November 2026</v>
      </c>
      <c r="F171" t="s">
        <v>170</v>
      </c>
      <c r="G171" t="s">
        <v>171</v>
      </c>
      <c r="H171" t="str">
        <f t="shared" si="5"/>
        <v>SRC-901 Jacksonville FL-TR-5063</v>
      </c>
      <c r="I171" t="s">
        <v>12</v>
      </c>
      <c r="J171">
        <v>28</v>
      </c>
      <c r="K171" t="s">
        <v>22</v>
      </c>
      <c r="L171" t="s">
        <v>23</v>
      </c>
      <c r="M171" s="2">
        <v>1540</v>
      </c>
      <c r="N171">
        <v>55</v>
      </c>
      <c r="O171">
        <v>53.2</v>
      </c>
    </row>
    <row r="172" spans="1:15" x14ac:dyDescent="0.25">
      <c r="A172" t="s">
        <v>11</v>
      </c>
      <c r="B172" t="s">
        <v>17</v>
      </c>
      <c r="C172" s="1">
        <v>46350</v>
      </c>
      <c r="D172" s="1">
        <v>46353</v>
      </c>
      <c r="E172" s="1" t="str">
        <f t="shared" si="4"/>
        <v>November 2026</v>
      </c>
      <c r="F172" t="s">
        <v>170</v>
      </c>
      <c r="G172" t="s">
        <v>171</v>
      </c>
      <c r="H172" t="str">
        <f t="shared" si="5"/>
        <v>SRC-901 Jacksonville FL-TR-5063</v>
      </c>
      <c r="I172" t="s">
        <v>12</v>
      </c>
      <c r="J172">
        <v>18</v>
      </c>
      <c r="K172" t="s">
        <v>24</v>
      </c>
      <c r="L172" t="s">
        <v>25</v>
      </c>
      <c r="M172" s="2">
        <v>1710</v>
      </c>
      <c r="N172">
        <v>95</v>
      </c>
      <c r="O172">
        <v>92.1</v>
      </c>
    </row>
    <row r="173" spans="1:15" x14ac:dyDescent="0.25">
      <c r="A173" t="s">
        <v>11</v>
      </c>
      <c r="B173" t="s">
        <v>17</v>
      </c>
      <c r="C173" s="1">
        <v>46350</v>
      </c>
      <c r="D173" s="1">
        <v>46353</v>
      </c>
      <c r="E173" s="1" t="str">
        <f t="shared" si="4"/>
        <v>November 2026</v>
      </c>
      <c r="F173" t="s">
        <v>170</v>
      </c>
      <c r="G173" t="s">
        <v>171</v>
      </c>
      <c r="H173" t="str">
        <f t="shared" si="5"/>
        <v>SRC-901 Jacksonville FL-TR-5063</v>
      </c>
      <c r="I173" t="s">
        <v>12</v>
      </c>
      <c r="J173">
        <v>8</v>
      </c>
      <c r="K173" t="s">
        <v>47</v>
      </c>
      <c r="L173" t="s">
        <v>48</v>
      </c>
      <c r="M173">
        <v>480</v>
      </c>
      <c r="N173">
        <v>60</v>
      </c>
      <c r="O173">
        <v>57.5</v>
      </c>
    </row>
    <row r="174" spans="1:15" x14ac:dyDescent="0.25">
      <c r="C174" s="1"/>
      <c r="D174" s="1"/>
      <c r="E174" s="1"/>
      <c r="M174" s="2"/>
    </row>
    <row r="175" spans="1:15" x14ac:dyDescent="0.25">
      <c r="C175" s="1"/>
      <c r="D175" s="1"/>
      <c r="E175" s="1"/>
      <c r="M175" s="2"/>
    </row>
    <row r="176" spans="1:15" x14ac:dyDescent="0.25">
      <c r="C176" s="1"/>
      <c r="D176" s="1"/>
      <c r="E176" s="1"/>
    </row>
    <row r="177" spans="3:13" x14ac:dyDescent="0.25">
      <c r="C177" s="1"/>
      <c r="D177" s="1"/>
      <c r="E177" s="1"/>
    </row>
    <row r="178" spans="3:13" x14ac:dyDescent="0.25">
      <c r="C178" s="1"/>
      <c r="D178" s="1"/>
      <c r="E178" s="1"/>
    </row>
    <row r="179" spans="3:13" x14ac:dyDescent="0.25">
      <c r="C179" s="1"/>
      <c r="D179" s="1"/>
      <c r="E179" s="1"/>
    </row>
    <row r="180" spans="3:13" x14ac:dyDescent="0.25">
      <c r="C180" s="1"/>
      <c r="D180" s="1"/>
      <c r="E180" s="1"/>
      <c r="M180" s="2"/>
    </row>
    <row r="181" spans="3:13" x14ac:dyDescent="0.25">
      <c r="C181" s="1"/>
      <c r="D181" s="1"/>
      <c r="E181" s="1"/>
      <c r="M181" s="2"/>
    </row>
    <row r="182" spans="3:13" x14ac:dyDescent="0.25">
      <c r="C182" s="1"/>
      <c r="D182" s="1"/>
      <c r="E182" s="1"/>
    </row>
    <row r="183" spans="3:13" x14ac:dyDescent="0.25">
      <c r="C183" s="1"/>
      <c r="D183" s="1"/>
      <c r="E183" s="1"/>
      <c r="M183" s="2"/>
    </row>
    <row r="184" spans="3:13" x14ac:dyDescent="0.25">
      <c r="C184" s="1"/>
      <c r="D184" s="1"/>
      <c r="E184" s="1"/>
    </row>
    <row r="185" spans="3:13" x14ac:dyDescent="0.25">
      <c r="C185" s="1"/>
      <c r="D185" s="1"/>
      <c r="E185" s="1"/>
    </row>
    <row r="186" spans="3:13" x14ac:dyDescent="0.25">
      <c r="C186" s="1"/>
      <c r="D186" s="1"/>
      <c r="E186" s="1"/>
    </row>
    <row r="187" spans="3:13" x14ac:dyDescent="0.25">
      <c r="C187" s="1"/>
      <c r="D187" s="1"/>
      <c r="E187" s="1"/>
    </row>
    <row r="188" spans="3:13" x14ac:dyDescent="0.25">
      <c r="C188" s="1"/>
      <c r="D188" s="1"/>
      <c r="E188" s="1"/>
      <c r="M188" s="2"/>
    </row>
    <row r="189" spans="3:13" x14ac:dyDescent="0.25">
      <c r="C189" s="1"/>
      <c r="D189" s="1"/>
      <c r="E189" s="1"/>
    </row>
    <row r="190" spans="3:13" x14ac:dyDescent="0.25">
      <c r="C190" s="1"/>
      <c r="D190" s="1"/>
      <c r="E190" s="1"/>
      <c r="M190" s="2"/>
    </row>
    <row r="191" spans="3:13" x14ac:dyDescent="0.25">
      <c r="C191" s="1"/>
      <c r="D191" s="1"/>
      <c r="E191" s="1"/>
      <c r="M191" s="2"/>
    </row>
    <row r="192" spans="3:13" x14ac:dyDescent="0.25">
      <c r="C192" s="1"/>
      <c r="D192" s="1"/>
      <c r="E192" s="1"/>
    </row>
    <row r="193" spans="3:13" x14ac:dyDescent="0.25">
      <c r="C193" s="1"/>
      <c r="D193" s="1"/>
      <c r="E193" s="1"/>
    </row>
    <row r="194" spans="3:13" x14ac:dyDescent="0.25">
      <c r="C194" s="1"/>
      <c r="D194" s="1"/>
      <c r="E194" s="1"/>
    </row>
    <row r="195" spans="3:13" x14ac:dyDescent="0.25">
      <c r="C195" s="1"/>
      <c r="D195" s="1"/>
      <c r="E195" s="1"/>
    </row>
    <row r="196" spans="3:13" x14ac:dyDescent="0.25">
      <c r="C196" s="1"/>
      <c r="D196" s="1"/>
      <c r="E196" s="1"/>
    </row>
    <row r="197" spans="3:13" x14ac:dyDescent="0.25">
      <c r="C197" s="1"/>
      <c r="D197" s="1"/>
      <c r="E197" s="1"/>
    </row>
    <row r="198" spans="3:13" x14ac:dyDescent="0.25">
      <c r="C198" s="1"/>
      <c r="D198" s="1"/>
      <c r="E198" s="1"/>
      <c r="M198" s="2"/>
    </row>
    <row r="199" spans="3:13" x14ac:dyDescent="0.25">
      <c r="C199" s="1"/>
      <c r="D199" s="1"/>
      <c r="E199" s="1"/>
      <c r="M199" s="2"/>
    </row>
    <row r="200" spans="3:13" x14ac:dyDescent="0.25">
      <c r="C200" s="1"/>
      <c r="D200" s="1"/>
      <c r="E200" s="1"/>
    </row>
    <row r="201" spans="3:13" x14ac:dyDescent="0.25">
      <c r="C201" s="1"/>
      <c r="D201" s="1"/>
      <c r="E201" s="1"/>
      <c r="M201" s="2"/>
    </row>
    <row r="202" spans="3:13" x14ac:dyDescent="0.25">
      <c r="C202" s="1"/>
      <c r="D202" s="1"/>
      <c r="E202" s="1"/>
      <c r="M202" s="2"/>
    </row>
    <row r="203" spans="3:13" x14ac:dyDescent="0.25">
      <c r="C203" s="1"/>
      <c r="D203" s="1"/>
      <c r="E203" s="1"/>
    </row>
    <row r="204" spans="3:13" x14ac:dyDescent="0.25">
      <c r="C204" s="1"/>
      <c r="D204" s="1"/>
      <c r="E204" s="1"/>
    </row>
    <row r="205" spans="3:13" x14ac:dyDescent="0.25">
      <c r="C205" s="1"/>
      <c r="D205" s="1"/>
      <c r="E205" s="1"/>
    </row>
    <row r="206" spans="3:13" x14ac:dyDescent="0.25">
      <c r="C206" s="1"/>
      <c r="D206" s="1"/>
      <c r="E206" s="1"/>
    </row>
    <row r="207" spans="3:13" x14ac:dyDescent="0.25">
      <c r="C207" s="1"/>
      <c r="D207" s="1"/>
      <c r="E207" s="1"/>
    </row>
    <row r="208" spans="3:13" x14ac:dyDescent="0.25">
      <c r="C208" s="1"/>
      <c r="D208" s="1"/>
      <c r="E208" s="1"/>
    </row>
    <row r="209" spans="3:13" x14ac:dyDescent="0.25">
      <c r="C209" s="1"/>
      <c r="D209" s="1"/>
      <c r="E209" s="1"/>
      <c r="M209" s="2"/>
    </row>
    <row r="210" spans="3:13" x14ac:dyDescent="0.25">
      <c r="C210" s="1"/>
      <c r="D210" s="1"/>
      <c r="E210" s="1"/>
    </row>
    <row r="211" spans="3:13" x14ac:dyDescent="0.25">
      <c r="C211" s="1"/>
      <c r="D211" s="1"/>
      <c r="E211" s="1"/>
    </row>
    <row r="212" spans="3:13" x14ac:dyDescent="0.25">
      <c r="C212" s="1"/>
      <c r="D212" s="1"/>
      <c r="E212" s="1"/>
      <c r="M212" s="2"/>
    </row>
    <row r="213" spans="3:13" x14ac:dyDescent="0.25">
      <c r="C213" s="1"/>
      <c r="D213" s="1"/>
      <c r="E213" s="1"/>
    </row>
    <row r="214" spans="3:13" x14ac:dyDescent="0.25">
      <c r="C214" s="1"/>
      <c r="D214" s="1"/>
      <c r="E214" s="1"/>
    </row>
    <row r="215" spans="3:13" x14ac:dyDescent="0.25">
      <c r="C215" s="1"/>
      <c r="D215" s="1"/>
      <c r="E215" s="1"/>
      <c r="M215" s="2"/>
    </row>
    <row r="216" spans="3:13" x14ac:dyDescent="0.25">
      <c r="C216" s="1"/>
      <c r="D216" s="1"/>
      <c r="E216" s="1"/>
      <c r="M216" s="2"/>
    </row>
    <row r="217" spans="3:13" x14ac:dyDescent="0.25">
      <c r="C217" s="1"/>
      <c r="D217" s="1"/>
      <c r="E217" s="1"/>
    </row>
    <row r="218" spans="3:13" x14ac:dyDescent="0.25">
      <c r="C218" s="1"/>
      <c r="D218" s="1"/>
      <c r="E218" s="1"/>
      <c r="M218" s="2"/>
    </row>
    <row r="219" spans="3:13" x14ac:dyDescent="0.25">
      <c r="C219" s="1"/>
      <c r="D219" s="1"/>
      <c r="E219" s="1"/>
      <c r="M219" s="2"/>
    </row>
    <row r="220" spans="3:13" x14ac:dyDescent="0.25">
      <c r="C220" s="1"/>
      <c r="D220" s="1"/>
      <c r="E220" s="1"/>
    </row>
    <row r="221" spans="3:13" x14ac:dyDescent="0.25">
      <c r="C221" s="1"/>
      <c r="D221" s="1"/>
      <c r="E221" s="1"/>
    </row>
    <row r="222" spans="3:13" x14ac:dyDescent="0.25">
      <c r="C222" s="1"/>
      <c r="D222" s="1"/>
      <c r="E222" s="1"/>
    </row>
    <row r="223" spans="3:13" x14ac:dyDescent="0.25">
      <c r="C223" s="1"/>
      <c r="D223" s="1"/>
      <c r="E223" s="1"/>
    </row>
    <row r="224" spans="3:13" x14ac:dyDescent="0.25">
      <c r="C224" s="1"/>
      <c r="D224" s="1"/>
      <c r="E224" s="1"/>
    </row>
    <row r="225" spans="3:13" x14ac:dyDescent="0.25">
      <c r="C225" s="1"/>
      <c r="D225" s="1"/>
      <c r="E225" s="1"/>
    </row>
    <row r="226" spans="3:13" x14ac:dyDescent="0.25">
      <c r="C226" s="1"/>
      <c r="D226" s="1"/>
      <c r="E226" s="1"/>
      <c r="M226" s="2"/>
    </row>
    <row r="227" spans="3:13" x14ac:dyDescent="0.25">
      <c r="C227" s="1"/>
      <c r="D227" s="1"/>
      <c r="E227" s="1"/>
      <c r="M227" s="2"/>
    </row>
    <row r="228" spans="3:13" x14ac:dyDescent="0.25">
      <c r="C228" s="1"/>
      <c r="D228" s="1"/>
      <c r="E228" s="1"/>
      <c r="M228" s="2"/>
    </row>
    <row r="229" spans="3:13" x14ac:dyDescent="0.25">
      <c r="C229" s="1"/>
      <c r="D229" s="1"/>
      <c r="E229" s="1"/>
      <c r="M229" s="2"/>
    </row>
    <row r="230" spans="3:13" x14ac:dyDescent="0.25">
      <c r="C230" s="1"/>
      <c r="D230" s="1"/>
      <c r="E230" s="1"/>
      <c r="M230" s="2"/>
    </row>
    <row r="231" spans="3:13" x14ac:dyDescent="0.25">
      <c r="C231" s="1"/>
      <c r="D231" s="1"/>
      <c r="E231" s="1"/>
    </row>
    <row r="232" spans="3:13" x14ac:dyDescent="0.25">
      <c r="C232" s="1"/>
      <c r="D232" s="1"/>
      <c r="E232" s="1"/>
    </row>
    <row r="233" spans="3:13" x14ac:dyDescent="0.25">
      <c r="C233" s="1"/>
      <c r="D233" s="1"/>
      <c r="E233" s="1"/>
    </row>
    <row r="234" spans="3:13" x14ac:dyDescent="0.25">
      <c r="C234" s="1"/>
      <c r="D234" s="1"/>
      <c r="E234" s="1"/>
      <c r="M234" s="2"/>
    </row>
    <row r="235" spans="3:13" x14ac:dyDescent="0.25">
      <c r="C235" s="1"/>
      <c r="D235" s="1"/>
      <c r="E235" s="1"/>
    </row>
    <row r="236" spans="3:13" x14ac:dyDescent="0.25">
      <c r="C236" s="1"/>
      <c r="D236" s="1"/>
      <c r="E236" s="1"/>
    </row>
    <row r="237" spans="3:13" x14ac:dyDescent="0.25">
      <c r="C237" s="1"/>
      <c r="D237" s="1"/>
      <c r="E237" s="1"/>
      <c r="M237" s="2"/>
    </row>
    <row r="238" spans="3:13" x14ac:dyDescent="0.25">
      <c r="C238" s="1"/>
      <c r="D238" s="1"/>
      <c r="E238" s="1"/>
      <c r="M238" s="2"/>
    </row>
    <row r="239" spans="3:13" x14ac:dyDescent="0.25">
      <c r="C239" s="1"/>
      <c r="D239" s="1"/>
      <c r="E239" s="1"/>
    </row>
    <row r="240" spans="3:13" x14ac:dyDescent="0.25">
      <c r="C240" s="1"/>
      <c r="D240" s="1"/>
      <c r="E240" s="1"/>
      <c r="M240" s="2"/>
    </row>
    <row r="241" spans="3:13" x14ac:dyDescent="0.25">
      <c r="C241" s="1"/>
      <c r="D241" s="1"/>
      <c r="E241" s="1"/>
      <c r="M241" s="2"/>
    </row>
    <row r="242" spans="3:13" x14ac:dyDescent="0.25">
      <c r="C242" s="1"/>
      <c r="D242" s="1"/>
      <c r="E242" s="1"/>
    </row>
    <row r="243" spans="3:13" x14ac:dyDescent="0.25">
      <c r="C243" s="1"/>
      <c r="D243" s="1"/>
      <c r="E243" s="1"/>
      <c r="M243" s="2"/>
    </row>
    <row r="244" spans="3:13" x14ac:dyDescent="0.25">
      <c r="C244" s="1"/>
      <c r="D244" s="1"/>
      <c r="E244" s="1"/>
    </row>
    <row r="245" spans="3:13" x14ac:dyDescent="0.25">
      <c r="C245" s="1"/>
      <c r="D245" s="1"/>
      <c r="E245" s="1"/>
    </row>
    <row r="246" spans="3:13" x14ac:dyDescent="0.25">
      <c r="C246" s="1"/>
      <c r="D246" s="1"/>
      <c r="E246" s="1"/>
    </row>
    <row r="247" spans="3:13" x14ac:dyDescent="0.25">
      <c r="C247" s="1"/>
      <c r="D247" s="1"/>
      <c r="E247" s="1"/>
    </row>
    <row r="248" spans="3:13" x14ac:dyDescent="0.25">
      <c r="C248" s="1"/>
      <c r="D248" s="1"/>
      <c r="E248" s="1"/>
    </row>
    <row r="249" spans="3:13" x14ac:dyDescent="0.25">
      <c r="C249" s="1"/>
      <c r="D249" s="1"/>
      <c r="E249" s="1"/>
    </row>
    <row r="250" spans="3:13" x14ac:dyDescent="0.25">
      <c r="C250" s="1"/>
      <c r="D250" s="1"/>
      <c r="E250" s="1"/>
    </row>
    <row r="251" spans="3:13" x14ac:dyDescent="0.25">
      <c r="C251" s="1"/>
      <c r="D251" s="1"/>
      <c r="E251" s="1"/>
      <c r="M251" s="2"/>
    </row>
    <row r="252" spans="3:13" x14ac:dyDescent="0.25">
      <c r="C252" s="1"/>
      <c r="D252" s="1"/>
      <c r="E252" s="1"/>
    </row>
    <row r="253" spans="3:13" x14ac:dyDescent="0.25">
      <c r="C253" s="1"/>
      <c r="D253" s="1"/>
      <c r="E253" s="1"/>
      <c r="M253" s="2"/>
    </row>
    <row r="254" spans="3:13" x14ac:dyDescent="0.25">
      <c r="C254" s="1"/>
      <c r="D254" s="1"/>
      <c r="E254" s="1"/>
    </row>
    <row r="255" spans="3:13" x14ac:dyDescent="0.25">
      <c r="C255" s="1"/>
      <c r="D255" s="1"/>
      <c r="E255" s="1"/>
    </row>
    <row r="256" spans="3:13" x14ac:dyDescent="0.25">
      <c r="C256" s="1"/>
      <c r="D256" s="1"/>
      <c r="E256" s="1"/>
    </row>
    <row r="257" spans="3:13" x14ac:dyDescent="0.25">
      <c r="C257" s="1"/>
      <c r="D257" s="1"/>
      <c r="E257" s="1"/>
    </row>
    <row r="258" spans="3:13" x14ac:dyDescent="0.25">
      <c r="C258" s="1"/>
      <c r="D258" s="1"/>
      <c r="E258" s="1"/>
    </row>
    <row r="259" spans="3:13" x14ac:dyDescent="0.25">
      <c r="C259" s="1"/>
      <c r="D259" s="1"/>
      <c r="E259" s="1"/>
      <c r="M259" s="2"/>
    </row>
    <row r="260" spans="3:13" x14ac:dyDescent="0.25">
      <c r="C260" s="1"/>
      <c r="D260" s="1"/>
      <c r="E260" s="1"/>
    </row>
    <row r="261" spans="3:13" x14ac:dyDescent="0.25">
      <c r="C261" s="1"/>
      <c r="D261" s="1"/>
      <c r="E261" s="1"/>
    </row>
    <row r="262" spans="3:13" x14ac:dyDescent="0.25">
      <c r="C262" s="1"/>
      <c r="D262" s="1"/>
      <c r="E262" s="1"/>
    </row>
    <row r="263" spans="3:13" x14ac:dyDescent="0.25">
      <c r="C263" s="1"/>
      <c r="D263" s="1"/>
      <c r="E263" s="1"/>
      <c r="M263" s="2"/>
    </row>
    <row r="264" spans="3:13" x14ac:dyDescent="0.25">
      <c r="C264" s="1"/>
      <c r="D264" s="1"/>
      <c r="E264" s="1"/>
      <c r="M264" s="2"/>
    </row>
    <row r="265" spans="3:13" x14ac:dyDescent="0.25">
      <c r="C265" s="1"/>
      <c r="D265" s="1"/>
      <c r="E265" s="1"/>
    </row>
    <row r="266" spans="3:13" x14ac:dyDescent="0.25">
      <c r="C266" s="1"/>
      <c r="D266" s="1"/>
      <c r="E266" s="1"/>
      <c r="M266" s="2"/>
    </row>
    <row r="267" spans="3:13" x14ac:dyDescent="0.25">
      <c r="C267" s="1"/>
      <c r="D267" s="1"/>
      <c r="E267" s="1"/>
    </row>
    <row r="268" spans="3:13" x14ac:dyDescent="0.25">
      <c r="C268" s="1"/>
      <c r="D268" s="1"/>
      <c r="E268" s="1"/>
      <c r="M268" s="2"/>
    </row>
    <row r="269" spans="3:13" x14ac:dyDescent="0.25">
      <c r="C269" s="1"/>
      <c r="D269" s="1"/>
      <c r="E269" s="1"/>
    </row>
    <row r="270" spans="3:13" x14ac:dyDescent="0.25">
      <c r="C270" s="1"/>
      <c r="D270" s="1"/>
      <c r="E270" s="1"/>
      <c r="M270" s="2"/>
    </row>
    <row r="271" spans="3:13" x14ac:dyDescent="0.25">
      <c r="C271" s="1"/>
      <c r="D271" s="1"/>
      <c r="E271" s="1"/>
    </row>
    <row r="272" spans="3:13" x14ac:dyDescent="0.25">
      <c r="C272" s="1"/>
      <c r="D272" s="1"/>
      <c r="E272" s="1"/>
      <c r="M272" s="2"/>
    </row>
    <row r="273" spans="3:13" x14ac:dyDescent="0.25">
      <c r="C273" s="1"/>
      <c r="D273" s="1"/>
      <c r="E273" s="1"/>
      <c r="M273" s="2"/>
    </row>
    <row r="274" spans="3:13" x14ac:dyDescent="0.25">
      <c r="C274" s="1"/>
      <c r="D274" s="1"/>
      <c r="E274" s="1"/>
      <c r="M274" s="2"/>
    </row>
    <row r="275" spans="3:13" x14ac:dyDescent="0.25">
      <c r="C275" s="1"/>
      <c r="D275" s="1"/>
      <c r="E275" s="1"/>
    </row>
    <row r="276" spans="3:13" x14ac:dyDescent="0.25">
      <c r="C276" s="1"/>
      <c r="D276" s="1"/>
      <c r="E276" s="1"/>
    </row>
    <row r="277" spans="3:13" x14ac:dyDescent="0.25">
      <c r="C277" s="1"/>
      <c r="D277" s="1"/>
      <c r="E277" s="1"/>
      <c r="M277" s="2"/>
    </row>
    <row r="278" spans="3:13" x14ac:dyDescent="0.25">
      <c r="C278" s="1"/>
      <c r="D278" s="1"/>
      <c r="E278" s="1"/>
      <c r="M278" s="2"/>
    </row>
    <row r="279" spans="3:13" x14ac:dyDescent="0.25">
      <c r="C279" s="1"/>
      <c r="D279" s="1"/>
      <c r="E279" s="1"/>
      <c r="M279" s="2"/>
    </row>
    <row r="280" spans="3:13" x14ac:dyDescent="0.25">
      <c r="C280" s="1"/>
      <c r="D280" s="1"/>
      <c r="E280" s="1"/>
    </row>
    <row r="281" spans="3:13" x14ac:dyDescent="0.25">
      <c r="C281" s="1"/>
      <c r="D281" s="1"/>
      <c r="E281" s="1"/>
      <c r="M281" s="2"/>
    </row>
    <row r="282" spans="3:13" x14ac:dyDescent="0.25">
      <c r="C282" s="1"/>
      <c r="D282" s="1"/>
      <c r="E282" s="1"/>
      <c r="M282" s="2"/>
    </row>
    <row r="283" spans="3:13" x14ac:dyDescent="0.25">
      <c r="C283" s="1"/>
      <c r="D283" s="1"/>
      <c r="E283" s="1"/>
    </row>
    <row r="284" spans="3:13" x14ac:dyDescent="0.25">
      <c r="C284" s="1"/>
      <c r="D284" s="1"/>
      <c r="E284" s="1"/>
      <c r="M284" s="2"/>
    </row>
    <row r="285" spans="3:13" x14ac:dyDescent="0.25">
      <c r="C285" s="1"/>
      <c r="D285" s="1"/>
      <c r="E285" s="1"/>
    </row>
    <row r="286" spans="3:13" x14ac:dyDescent="0.25">
      <c r="C286" s="1"/>
      <c r="D286" s="1"/>
      <c r="E286" s="1"/>
    </row>
    <row r="287" spans="3:13" x14ac:dyDescent="0.25">
      <c r="C287" s="1"/>
      <c r="D287" s="1"/>
      <c r="E287" s="1"/>
    </row>
    <row r="288" spans="3:13" x14ac:dyDescent="0.25">
      <c r="C288" s="1"/>
      <c r="D288" s="1"/>
      <c r="E288" s="1"/>
    </row>
    <row r="289" spans="3:13" x14ac:dyDescent="0.25">
      <c r="C289" s="1"/>
      <c r="D289" s="1"/>
      <c r="E289" s="1"/>
    </row>
    <row r="290" spans="3:13" x14ac:dyDescent="0.25">
      <c r="C290" s="1"/>
      <c r="D290" s="1"/>
      <c r="E290" s="1"/>
      <c r="M290" s="2"/>
    </row>
    <row r="291" spans="3:13" x14ac:dyDescent="0.25">
      <c r="C291" s="1"/>
      <c r="D291" s="1"/>
      <c r="E291" s="1"/>
      <c r="M291" s="2"/>
    </row>
    <row r="292" spans="3:13" x14ac:dyDescent="0.25">
      <c r="C292" s="1"/>
      <c r="D292" s="1"/>
      <c r="E292" s="1"/>
      <c r="M292" s="2"/>
    </row>
    <row r="293" spans="3:13" x14ac:dyDescent="0.25">
      <c r="C293" s="1"/>
      <c r="D293" s="1"/>
      <c r="E293" s="1"/>
    </row>
    <row r="294" spans="3:13" x14ac:dyDescent="0.25">
      <c r="C294" s="1"/>
      <c r="D294" s="1"/>
      <c r="E294" s="1"/>
    </row>
    <row r="295" spans="3:13" x14ac:dyDescent="0.25">
      <c r="C295" s="1"/>
      <c r="D295" s="1"/>
      <c r="E295" s="1"/>
      <c r="M295" s="2"/>
    </row>
    <row r="296" spans="3:13" x14ac:dyDescent="0.25">
      <c r="C296" s="1"/>
      <c r="D296" s="1"/>
      <c r="E296" s="1"/>
      <c r="M296" s="2"/>
    </row>
    <row r="297" spans="3:13" x14ac:dyDescent="0.25">
      <c r="C297" s="1"/>
      <c r="D297" s="1"/>
      <c r="E297" s="1"/>
    </row>
    <row r="298" spans="3:13" x14ac:dyDescent="0.25">
      <c r="C298" s="1"/>
      <c r="D298" s="1"/>
      <c r="E298" s="1"/>
    </row>
    <row r="299" spans="3:13" x14ac:dyDescent="0.25">
      <c r="C299" s="1"/>
      <c r="D299" s="1"/>
      <c r="E299" s="1"/>
      <c r="M299" s="2"/>
    </row>
    <row r="300" spans="3:13" x14ac:dyDescent="0.25">
      <c r="C300" s="1"/>
      <c r="D300" s="1"/>
      <c r="E300" s="1"/>
    </row>
    <row r="301" spans="3:13" x14ac:dyDescent="0.25">
      <c r="C301" s="1"/>
      <c r="D301" s="1"/>
      <c r="E301" s="1"/>
    </row>
    <row r="302" spans="3:13" x14ac:dyDescent="0.25">
      <c r="C302" s="1"/>
      <c r="D302" s="1"/>
      <c r="E302" s="1"/>
    </row>
    <row r="303" spans="3:13" x14ac:dyDescent="0.25">
      <c r="C303" s="1"/>
      <c r="D303" s="1"/>
      <c r="E303" s="1"/>
      <c r="M303" s="2"/>
    </row>
    <row r="304" spans="3:13" x14ac:dyDescent="0.25">
      <c r="C304" s="1"/>
      <c r="D304" s="1"/>
      <c r="E304" s="1"/>
      <c r="M304" s="2"/>
    </row>
    <row r="305" spans="3:13" x14ac:dyDescent="0.25">
      <c r="C305" s="1"/>
      <c r="D305" s="1"/>
      <c r="E305" s="1"/>
      <c r="M305" s="2"/>
    </row>
    <row r="306" spans="3:13" x14ac:dyDescent="0.25">
      <c r="C306" s="1"/>
      <c r="D306" s="1"/>
      <c r="E306" s="1"/>
    </row>
    <row r="307" spans="3:13" x14ac:dyDescent="0.25">
      <c r="C307" s="1"/>
      <c r="D307" s="1"/>
      <c r="E307" s="1"/>
      <c r="M307" s="2"/>
    </row>
    <row r="308" spans="3:13" x14ac:dyDescent="0.25">
      <c r="C308" s="1"/>
      <c r="D308" s="1"/>
      <c r="E308" s="1"/>
      <c r="M308" s="2"/>
    </row>
    <row r="309" spans="3:13" x14ac:dyDescent="0.25">
      <c r="C309" s="1"/>
      <c r="D309" s="1"/>
      <c r="E309" s="1"/>
      <c r="M309" s="2"/>
    </row>
    <row r="310" spans="3:13" x14ac:dyDescent="0.25">
      <c r="C310" s="1"/>
      <c r="D310" s="1"/>
      <c r="E310" s="1"/>
      <c r="M310" s="2"/>
    </row>
    <row r="311" spans="3:13" x14ac:dyDescent="0.25">
      <c r="C311" s="1"/>
      <c r="D311" s="1"/>
      <c r="E311" s="1"/>
      <c r="M311" s="2"/>
    </row>
    <row r="312" spans="3:13" x14ac:dyDescent="0.25">
      <c r="C312" s="1"/>
      <c r="D312" s="1"/>
      <c r="E312" s="1"/>
      <c r="M312" s="2"/>
    </row>
    <row r="313" spans="3:13" x14ac:dyDescent="0.25">
      <c r="C313" s="1"/>
      <c r="D313" s="1"/>
      <c r="E313" s="1"/>
      <c r="M313" s="2"/>
    </row>
    <row r="314" spans="3:13" x14ac:dyDescent="0.25">
      <c r="C314" s="1"/>
      <c r="D314" s="1"/>
      <c r="E314" s="1"/>
      <c r="M314" s="2"/>
    </row>
    <row r="315" spans="3:13" x14ac:dyDescent="0.25">
      <c r="C315" s="1"/>
      <c r="D315" s="1"/>
      <c r="E315" s="1"/>
      <c r="M315" s="2"/>
    </row>
    <row r="316" spans="3:13" x14ac:dyDescent="0.25">
      <c r="C316" s="1"/>
      <c r="D316" s="1"/>
      <c r="E316" s="1"/>
    </row>
    <row r="317" spans="3:13" x14ac:dyDescent="0.25">
      <c r="C317" s="1"/>
      <c r="D317" s="1"/>
      <c r="E317" s="1"/>
      <c r="M317" s="2"/>
    </row>
    <row r="318" spans="3:13" x14ac:dyDescent="0.25">
      <c r="C318" s="1"/>
      <c r="D318" s="1"/>
      <c r="E318" s="1"/>
      <c r="M318" s="2"/>
    </row>
    <row r="319" spans="3:13" x14ac:dyDescent="0.25">
      <c r="C319" s="1"/>
      <c r="D319" s="1"/>
      <c r="E319" s="1"/>
    </row>
    <row r="320" spans="3:13" x14ac:dyDescent="0.25">
      <c r="C320" s="1"/>
      <c r="D320" s="1"/>
      <c r="E320" s="1"/>
    </row>
    <row r="321" spans="3:13" x14ac:dyDescent="0.25">
      <c r="C321" s="1"/>
      <c r="D321" s="1"/>
      <c r="E321" s="1"/>
    </row>
    <row r="322" spans="3:13" x14ac:dyDescent="0.25">
      <c r="C322" s="1"/>
      <c r="D322" s="1"/>
      <c r="E322" s="1"/>
      <c r="M322" s="2"/>
    </row>
    <row r="323" spans="3:13" x14ac:dyDescent="0.25">
      <c r="C323" s="1"/>
      <c r="D323" s="1"/>
      <c r="E323" s="1"/>
    </row>
    <row r="324" spans="3:13" x14ac:dyDescent="0.25">
      <c r="C324" s="1"/>
      <c r="D324" s="1"/>
      <c r="E324" s="1"/>
    </row>
    <row r="325" spans="3:13" x14ac:dyDescent="0.25">
      <c r="C325" s="1"/>
      <c r="D325" s="1"/>
      <c r="E325" s="1"/>
    </row>
    <row r="326" spans="3:13" x14ac:dyDescent="0.25">
      <c r="C326" s="1"/>
      <c r="D326" s="1"/>
      <c r="E326" s="1"/>
    </row>
    <row r="327" spans="3:13" x14ac:dyDescent="0.25">
      <c r="C327" s="1"/>
      <c r="D327" s="1"/>
      <c r="E327" s="1"/>
      <c r="M327" s="2"/>
    </row>
    <row r="328" spans="3:13" x14ac:dyDescent="0.25">
      <c r="C328" s="1"/>
      <c r="D328" s="1"/>
      <c r="E328" s="1"/>
    </row>
    <row r="329" spans="3:13" x14ac:dyDescent="0.25">
      <c r="C329" s="1"/>
      <c r="D329" s="1"/>
      <c r="E329" s="1"/>
    </row>
    <row r="330" spans="3:13" x14ac:dyDescent="0.25">
      <c r="C330" s="1"/>
      <c r="D330" s="1"/>
      <c r="E330" s="1"/>
      <c r="M330" s="2"/>
    </row>
    <row r="331" spans="3:13" x14ac:dyDescent="0.25">
      <c r="C331" s="1"/>
      <c r="D331" s="1"/>
      <c r="E331" s="1"/>
    </row>
    <row r="332" spans="3:13" x14ac:dyDescent="0.25">
      <c r="C332" s="1"/>
      <c r="D332" s="1"/>
      <c r="E332" s="1"/>
      <c r="M332" s="2"/>
    </row>
    <row r="333" spans="3:13" x14ac:dyDescent="0.25">
      <c r="C333" s="1"/>
      <c r="D333" s="1"/>
      <c r="E333" s="1"/>
      <c r="M333" s="2"/>
    </row>
    <row r="334" spans="3:13" x14ac:dyDescent="0.25">
      <c r="C334" s="1"/>
      <c r="D334" s="1"/>
      <c r="E334" s="1"/>
    </row>
    <row r="335" spans="3:13" x14ac:dyDescent="0.25">
      <c r="C335" s="1"/>
      <c r="D335" s="1"/>
      <c r="E335" s="1"/>
      <c r="M335" s="2"/>
    </row>
    <row r="336" spans="3:13" x14ac:dyDescent="0.25">
      <c r="C336" s="1"/>
      <c r="D336" s="1"/>
      <c r="E336" s="1"/>
      <c r="M336" s="2"/>
    </row>
    <row r="337" spans="3:13" x14ac:dyDescent="0.25">
      <c r="C337" s="1"/>
      <c r="D337" s="1"/>
      <c r="E337" s="1"/>
    </row>
    <row r="338" spans="3:13" x14ac:dyDescent="0.25">
      <c r="C338" s="1"/>
      <c r="D338" s="1"/>
      <c r="E338" s="1"/>
      <c r="M338" s="2"/>
    </row>
    <row r="339" spans="3:13" x14ac:dyDescent="0.25">
      <c r="C339" s="1"/>
      <c r="D339" s="1"/>
      <c r="E339" s="1"/>
      <c r="M339" s="2"/>
    </row>
    <row r="340" spans="3:13" x14ac:dyDescent="0.25">
      <c r="C340" s="1"/>
      <c r="D340" s="1"/>
      <c r="E340" s="1"/>
      <c r="M340" s="2"/>
    </row>
    <row r="341" spans="3:13" x14ac:dyDescent="0.25">
      <c r="C341" s="1"/>
      <c r="D341" s="1"/>
      <c r="E341" s="1"/>
    </row>
    <row r="342" spans="3:13" x14ac:dyDescent="0.25">
      <c r="C342" s="1"/>
      <c r="D342" s="1"/>
      <c r="E342" s="1"/>
    </row>
    <row r="343" spans="3:13" x14ac:dyDescent="0.25">
      <c r="C343" s="1"/>
      <c r="D343" s="1"/>
      <c r="E343" s="1"/>
    </row>
    <row r="344" spans="3:13" x14ac:dyDescent="0.25">
      <c r="C344" s="1"/>
      <c r="D344" s="1"/>
      <c r="E344" s="1"/>
      <c r="M344" s="2"/>
    </row>
    <row r="345" spans="3:13" x14ac:dyDescent="0.25">
      <c r="C345" s="1"/>
      <c r="D345" s="1"/>
      <c r="E345" s="1"/>
      <c r="M345" s="2"/>
    </row>
    <row r="346" spans="3:13" x14ac:dyDescent="0.25">
      <c r="C346" s="1"/>
      <c r="D346" s="1"/>
      <c r="E346" s="1"/>
    </row>
    <row r="347" spans="3:13" x14ac:dyDescent="0.25">
      <c r="C347" s="1"/>
      <c r="D347" s="1"/>
      <c r="E347" s="1"/>
    </row>
    <row r="348" spans="3:13" x14ac:dyDescent="0.25">
      <c r="C348" s="1"/>
      <c r="D348" s="1"/>
      <c r="E348" s="1"/>
    </row>
    <row r="349" spans="3:13" x14ac:dyDescent="0.25">
      <c r="C349" s="1"/>
      <c r="D349" s="1"/>
      <c r="E349" s="1"/>
    </row>
    <row r="350" spans="3:13" x14ac:dyDescent="0.25">
      <c r="C350" s="1"/>
      <c r="D350" s="1"/>
      <c r="E350" s="1"/>
      <c r="M350" s="2"/>
    </row>
    <row r="351" spans="3:13" x14ac:dyDescent="0.25">
      <c r="C351" s="1"/>
      <c r="D351" s="1"/>
      <c r="E351" s="1"/>
      <c r="M351" s="2"/>
    </row>
    <row r="352" spans="3:13" x14ac:dyDescent="0.25">
      <c r="C352" s="1"/>
      <c r="D352" s="1"/>
      <c r="E352" s="1"/>
    </row>
    <row r="353" spans="3:13" x14ac:dyDescent="0.25">
      <c r="C353" s="1"/>
      <c r="D353" s="1"/>
      <c r="E353" s="1"/>
    </row>
    <row r="354" spans="3:13" x14ac:dyDescent="0.25">
      <c r="C354" s="1"/>
      <c r="D354" s="1"/>
      <c r="E354" s="1"/>
    </row>
    <row r="355" spans="3:13" x14ac:dyDescent="0.25">
      <c r="C355" s="1"/>
      <c r="D355" s="1"/>
      <c r="E355" s="1"/>
      <c r="M355" s="2"/>
    </row>
    <row r="356" spans="3:13" x14ac:dyDescent="0.25">
      <c r="C356" s="1"/>
      <c r="D356" s="1"/>
      <c r="E356" s="1"/>
      <c r="M356" s="2"/>
    </row>
    <row r="357" spans="3:13" x14ac:dyDescent="0.25">
      <c r="C357" s="1"/>
      <c r="D357" s="1"/>
      <c r="E357" s="1"/>
    </row>
    <row r="358" spans="3:13" x14ac:dyDescent="0.25">
      <c r="C358" s="1"/>
      <c r="D358" s="1"/>
      <c r="E358" s="1"/>
    </row>
    <row r="359" spans="3:13" x14ac:dyDescent="0.25">
      <c r="C359" s="1"/>
      <c r="D359" s="1"/>
      <c r="E359" s="1"/>
    </row>
    <row r="360" spans="3:13" x14ac:dyDescent="0.25">
      <c r="C360" s="1"/>
      <c r="D360" s="1"/>
      <c r="E360" s="1"/>
    </row>
    <row r="361" spans="3:13" x14ac:dyDescent="0.25">
      <c r="C361" s="1"/>
      <c r="D361" s="1"/>
      <c r="E361" s="1"/>
    </row>
    <row r="362" spans="3:13" x14ac:dyDescent="0.25">
      <c r="C362" s="1"/>
      <c r="D362" s="1"/>
      <c r="E362" s="1"/>
    </row>
    <row r="363" spans="3:13" x14ac:dyDescent="0.25">
      <c r="C363" s="1"/>
      <c r="D363" s="1"/>
      <c r="E363" s="1"/>
      <c r="M363" s="2"/>
    </row>
    <row r="364" spans="3:13" x14ac:dyDescent="0.25">
      <c r="C364" s="1"/>
      <c r="D364" s="1"/>
      <c r="E364" s="1"/>
    </row>
    <row r="365" spans="3:13" x14ac:dyDescent="0.25">
      <c r="C365" s="1"/>
      <c r="D365" s="1"/>
      <c r="E365" s="1"/>
    </row>
    <row r="366" spans="3:13" x14ac:dyDescent="0.25">
      <c r="C366" s="1"/>
      <c r="D366" s="1"/>
      <c r="E366" s="1"/>
      <c r="M366" s="2"/>
    </row>
    <row r="367" spans="3:13" x14ac:dyDescent="0.25">
      <c r="C367" s="1"/>
      <c r="D367" s="1"/>
      <c r="E367" s="1"/>
    </row>
    <row r="368" spans="3:13" x14ac:dyDescent="0.25">
      <c r="C368" s="1"/>
      <c r="D368" s="1"/>
      <c r="E368" s="1"/>
    </row>
    <row r="369" spans="3:13" x14ac:dyDescent="0.25">
      <c r="C369" s="1"/>
      <c r="D369" s="1"/>
      <c r="E369" s="1"/>
      <c r="M369" s="2"/>
    </row>
    <row r="370" spans="3:13" x14ac:dyDescent="0.25">
      <c r="C370" s="1"/>
      <c r="D370" s="1"/>
      <c r="E370" s="1"/>
      <c r="M370" s="2"/>
    </row>
    <row r="371" spans="3:13" x14ac:dyDescent="0.25">
      <c r="C371" s="1"/>
      <c r="D371" s="1"/>
      <c r="E371" s="1"/>
      <c r="M371" s="2"/>
    </row>
    <row r="372" spans="3:13" x14ac:dyDescent="0.25">
      <c r="C372" s="1"/>
      <c r="D372" s="1"/>
      <c r="E372" s="1"/>
    </row>
    <row r="373" spans="3:13" x14ac:dyDescent="0.25">
      <c r="C373" s="1"/>
      <c r="D373" s="1"/>
      <c r="E373" s="1"/>
      <c r="M373" s="2"/>
    </row>
    <row r="374" spans="3:13" x14ac:dyDescent="0.25">
      <c r="C374" s="1"/>
      <c r="D374" s="1"/>
      <c r="E374" s="1"/>
    </row>
    <row r="375" spans="3:13" x14ac:dyDescent="0.25">
      <c r="C375" s="1"/>
      <c r="D375" s="1"/>
      <c r="E375" s="1"/>
      <c r="M375" s="2"/>
    </row>
    <row r="376" spans="3:13" x14ac:dyDescent="0.25">
      <c r="C376" s="1"/>
      <c r="D376" s="1"/>
      <c r="E376" s="1"/>
    </row>
    <row r="377" spans="3:13" x14ac:dyDescent="0.25">
      <c r="C377" s="1"/>
      <c r="D377" s="1"/>
      <c r="E377" s="1"/>
      <c r="M377" s="2"/>
    </row>
    <row r="378" spans="3:13" x14ac:dyDescent="0.25">
      <c r="C378" s="1"/>
      <c r="D378" s="1"/>
      <c r="E378" s="1"/>
      <c r="M378" s="2"/>
    </row>
    <row r="379" spans="3:13" x14ac:dyDescent="0.25">
      <c r="C379" s="1"/>
      <c r="D379" s="1"/>
      <c r="E379" s="1"/>
      <c r="M379" s="2"/>
    </row>
    <row r="380" spans="3:13" x14ac:dyDescent="0.25">
      <c r="C380" s="1"/>
      <c r="D380" s="1"/>
      <c r="E380" s="1"/>
    </row>
    <row r="381" spans="3:13" x14ac:dyDescent="0.25">
      <c r="C381" s="1"/>
      <c r="D381" s="1"/>
      <c r="E381" s="1"/>
    </row>
    <row r="382" spans="3:13" x14ac:dyDescent="0.25">
      <c r="C382" s="1"/>
      <c r="D382" s="1"/>
      <c r="E382" s="1"/>
    </row>
    <row r="383" spans="3:13" x14ac:dyDescent="0.25">
      <c r="C383" s="1"/>
      <c r="D383" s="1"/>
      <c r="E383" s="1"/>
    </row>
    <row r="384" spans="3:13" x14ac:dyDescent="0.25">
      <c r="C384" s="1"/>
      <c r="D384" s="1"/>
      <c r="E384" s="1"/>
    </row>
    <row r="385" spans="3:13" x14ac:dyDescent="0.25">
      <c r="C385" s="1"/>
      <c r="D385" s="1"/>
      <c r="E385" s="1"/>
    </row>
    <row r="386" spans="3:13" x14ac:dyDescent="0.25">
      <c r="C386" s="1"/>
      <c r="D386" s="1"/>
      <c r="E386" s="1"/>
    </row>
    <row r="387" spans="3:13" x14ac:dyDescent="0.25">
      <c r="C387" s="1"/>
      <c r="D387" s="1"/>
      <c r="E387" s="1"/>
      <c r="M387" s="2"/>
    </row>
    <row r="388" spans="3:13" x14ac:dyDescent="0.25">
      <c r="C388" s="1"/>
      <c r="D388" s="1"/>
      <c r="E388" s="1"/>
      <c r="M388" s="2"/>
    </row>
    <row r="389" spans="3:13" x14ac:dyDescent="0.25">
      <c r="C389" s="1"/>
      <c r="D389" s="1"/>
      <c r="E389" s="1"/>
      <c r="M389" s="2"/>
    </row>
    <row r="390" spans="3:13" x14ac:dyDescent="0.25">
      <c r="C390" s="1"/>
      <c r="D390" s="1"/>
      <c r="E390" s="1"/>
    </row>
    <row r="391" spans="3:13" x14ac:dyDescent="0.25">
      <c r="C391" s="1"/>
      <c r="D391" s="1"/>
      <c r="E391" s="1"/>
    </row>
    <row r="392" spans="3:13" x14ac:dyDescent="0.25">
      <c r="C392" s="1"/>
      <c r="D392" s="1"/>
      <c r="E392" s="1"/>
      <c r="M392" s="2"/>
    </row>
    <row r="393" spans="3:13" x14ac:dyDescent="0.25">
      <c r="C393" s="1"/>
      <c r="D393" s="1"/>
      <c r="E393" s="1"/>
      <c r="M393" s="2"/>
    </row>
    <row r="394" spans="3:13" x14ac:dyDescent="0.25">
      <c r="C394" s="1"/>
      <c r="D394" s="1"/>
      <c r="E394" s="1"/>
      <c r="M394" s="2"/>
    </row>
    <row r="395" spans="3:13" x14ac:dyDescent="0.25">
      <c r="C395" s="1"/>
      <c r="D395" s="1"/>
      <c r="E395" s="1"/>
      <c r="M395" s="2"/>
    </row>
    <row r="396" spans="3:13" x14ac:dyDescent="0.25">
      <c r="C396" s="1"/>
      <c r="D396" s="1"/>
      <c r="E396" s="1"/>
    </row>
    <row r="397" spans="3:13" x14ac:dyDescent="0.25">
      <c r="C397" s="1"/>
      <c r="D397" s="1"/>
      <c r="E397" s="1"/>
    </row>
    <row r="398" spans="3:13" x14ac:dyDescent="0.25">
      <c r="C398" s="1"/>
      <c r="D398" s="1"/>
      <c r="E398" s="1"/>
      <c r="M398" s="2"/>
    </row>
    <row r="399" spans="3:13" x14ac:dyDescent="0.25">
      <c r="C399" s="1"/>
      <c r="D399" s="1"/>
      <c r="E399" s="1"/>
    </row>
    <row r="400" spans="3:13" x14ac:dyDescent="0.25">
      <c r="C400" s="1"/>
      <c r="D400" s="1"/>
      <c r="E400" s="1"/>
      <c r="M400" s="2"/>
    </row>
    <row r="401" spans="3:13" x14ac:dyDescent="0.25">
      <c r="C401" s="1"/>
      <c r="D401" s="1"/>
      <c r="E401" s="1"/>
      <c r="M401" s="2"/>
    </row>
    <row r="402" spans="3:13" x14ac:dyDescent="0.25">
      <c r="C402" s="1"/>
      <c r="D402" s="1"/>
      <c r="E402" s="1"/>
    </row>
    <row r="403" spans="3:13" x14ac:dyDescent="0.25">
      <c r="C403" s="1"/>
      <c r="D403" s="1"/>
      <c r="E403" s="1"/>
    </row>
    <row r="404" spans="3:13" x14ac:dyDescent="0.25">
      <c r="C404" s="1"/>
      <c r="D404" s="1"/>
      <c r="E404" s="1"/>
      <c r="M404" s="2"/>
    </row>
    <row r="405" spans="3:13" x14ac:dyDescent="0.25">
      <c r="C405" s="1"/>
      <c r="D405" s="1"/>
      <c r="E405" s="1"/>
    </row>
    <row r="406" spans="3:13" x14ac:dyDescent="0.25">
      <c r="C406" s="1"/>
      <c r="D406" s="1"/>
      <c r="E406" s="1"/>
      <c r="M406" s="2"/>
    </row>
    <row r="407" spans="3:13" x14ac:dyDescent="0.25">
      <c r="C407" s="1"/>
      <c r="D407" s="1"/>
      <c r="E407" s="1"/>
    </row>
    <row r="408" spans="3:13" x14ac:dyDescent="0.25">
      <c r="C408" s="1"/>
      <c r="D408" s="1"/>
      <c r="E408" s="1"/>
      <c r="M408" s="2"/>
    </row>
    <row r="409" spans="3:13" x14ac:dyDescent="0.25">
      <c r="C409" s="1"/>
      <c r="D409" s="1"/>
      <c r="E409" s="1"/>
      <c r="M409" s="2"/>
    </row>
    <row r="410" spans="3:13" x14ac:dyDescent="0.25">
      <c r="C410" s="1"/>
      <c r="D410" s="1"/>
      <c r="E410" s="1"/>
    </row>
    <row r="411" spans="3:13" x14ac:dyDescent="0.25">
      <c r="C411" s="1"/>
      <c r="D411" s="1"/>
      <c r="E411" s="1"/>
      <c r="M411" s="2"/>
    </row>
    <row r="412" spans="3:13" x14ac:dyDescent="0.25">
      <c r="C412" s="1"/>
      <c r="D412" s="1"/>
      <c r="E412" s="1"/>
    </row>
    <row r="413" spans="3:13" x14ac:dyDescent="0.25">
      <c r="C413" s="1"/>
      <c r="D413" s="1"/>
      <c r="E413" s="1"/>
    </row>
    <row r="414" spans="3:13" x14ac:dyDescent="0.25">
      <c r="C414" s="1"/>
      <c r="D414" s="1"/>
      <c r="E414" s="1"/>
      <c r="M414" s="2"/>
    </row>
    <row r="415" spans="3:13" x14ac:dyDescent="0.25">
      <c r="C415" s="1"/>
      <c r="D415" s="1"/>
      <c r="E415" s="1"/>
    </row>
    <row r="416" spans="3:13" x14ac:dyDescent="0.25">
      <c r="C416" s="1"/>
      <c r="D416" s="1"/>
      <c r="E416" s="1"/>
    </row>
    <row r="417" spans="3:13" x14ac:dyDescent="0.25">
      <c r="C417" s="1"/>
      <c r="D417" s="1"/>
      <c r="E417" s="1"/>
      <c r="M417" s="2"/>
    </row>
    <row r="418" spans="3:13" x14ac:dyDescent="0.25">
      <c r="C418" s="1"/>
      <c r="D418" s="1"/>
      <c r="E418" s="1"/>
    </row>
    <row r="419" spans="3:13" x14ac:dyDescent="0.25">
      <c r="C419" s="1"/>
      <c r="D419" s="1"/>
      <c r="E419" s="1"/>
      <c r="M419" s="2"/>
    </row>
    <row r="420" spans="3:13" x14ac:dyDescent="0.25">
      <c r="C420" s="1"/>
      <c r="D420" s="1"/>
      <c r="E420" s="1"/>
    </row>
    <row r="421" spans="3:13" x14ac:dyDescent="0.25">
      <c r="C421" s="1"/>
      <c r="D421" s="1"/>
      <c r="E421" s="1"/>
    </row>
    <row r="422" spans="3:13" x14ac:dyDescent="0.25">
      <c r="C422" s="1"/>
      <c r="D422" s="1"/>
      <c r="E422" s="1"/>
      <c r="M422" s="2"/>
    </row>
    <row r="423" spans="3:13" x14ac:dyDescent="0.25">
      <c r="C423" s="1"/>
      <c r="D423" s="1"/>
      <c r="E423" s="1"/>
      <c r="M423" s="2"/>
    </row>
    <row r="424" spans="3:13" x14ac:dyDescent="0.25">
      <c r="C424" s="1"/>
      <c r="D424" s="1"/>
      <c r="E424" s="1"/>
      <c r="M424" s="2"/>
    </row>
    <row r="425" spans="3:13" x14ac:dyDescent="0.25">
      <c r="C425" s="1"/>
      <c r="D425" s="1"/>
      <c r="E425" s="1"/>
    </row>
    <row r="426" spans="3:13" x14ac:dyDescent="0.25">
      <c r="C426" s="1"/>
      <c r="D426" s="1"/>
      <c r="E426" s="1"/>
    </row>
    <row r="427" spans="3:13" x14ac:dyDescent="0.25">
      <c r="C427" s="1"/>
      <c r="D427" s="1"/>
      <c r="E427" s="1"/>
      <c r="M427" s="2"/>
    </row>
    <row r="428" spans="3:13" x14ac:dyDescent="0.25">
      <c r="C428" s="1"/>
      <c r="D428" s="1"/>
      <c r="E428" s="1"/>
    </row>
    <row r="429" spans="3:13" x14ac:dyDescent="0.25">
      <c r="C429" s="1"/>
      <c r="D429" s="1"/>
      <c r="E429" s="1"/>
    </row>
    <row r="430" spans="3:13" x14ac:dyDescent="0.25">
      <c r="C430" s="1"/>
      <c r="D430" s="1"/>
      <c r="E430" s="1"/>
    </row>
    <row r="431" spans="3:13" x14ac:dyDescent="0.25">
      <c r="C431" s="1"/>
      <c r="D431" s="1"/>
      <c r="E431" s="1"/>
    </row>
    <row r="432" spans="3:13" x14ac:dyDescent="0.25">
      <c r="C432" s="1"/>
      <c r="D432" s="1"/>
      <c r="E432" s="1"/>
    </row>
    <row r="433" spans="3:13" x14ac:dyDescent="0.25">
      <c r="C433" s="1"/>
      <c r="D433" s="1"/>
      <c r="E433" s="1"/>
    </row>
    <row r="434" spans="3:13" x14ac:dyDescent="0.25">
      <c r="C434" s="1"/>
      <c r="D434" s="1"/>
      <c r="E434" s="1"/>
    </row>
    <row r="435" spans="3:13" x14ac:dyDescent="0.25">
      <c r="C435" s="1"/>
      <c r="D435" s="1"/>
      <c r="E435" s="1"/>
    </row>
    <row r="436" spans="3:13" x14ac:dyDescent="0.25">
      <c r="C436" s="1"/>
      <c r="D436" s="1"/>
      <c r="E436" s="1"/>
      <c r="M436" s="2"/>
    </row>
    <row r="437" spans="3:13" x14ac:dyDescent="0.25">
      <c r="C437" s="1"/>
      <c r="D437" s="1"/>
      <c r="E437" s="1"/>
    </row>
    <row r="438" spans="3:13" x14ac:dyDescent="0.25">
      <c r="C438" s="1"/>
      <c r="D438" s="1"/>
      <c r="E438" s="1"/>
    </row>
    <row r="439" spans="3:13" x14ac:dyDescent="0.25">
      <c r="C439" s="1"/>
      <c r="D439" s="1"/>
      <c r="E439" s="1"/>
    </row>
    <row r="440" spans="3:13" x14ac:dyDescent="0.25">
      <c r="C440" s="1"/>
      <c r="D440" s="1"/>
      <c r="E440" s="1"/>
      <c r="M440" s="2"/>
    </row>
    <row r="441" spans="3:13" x14ac:dyDescent="0.25">
      <c r="C441" s="1"/>
      <c r="D441" s="1"/>
      <c r="E441" s="1"/>
      <c r="M441" s="2"/>
    </row>
    <row r="442" spans="3:13" x14ac:dyDescent="0.25">
      <c r="C442" s="1"/>
      <c r="D442" s="1"/>
      <c r="E442" s="1"/>
      <c r="M442" s="2"/>
    </row>
    <row r="443" spans="3:13" x14ac:dyDescent="0.25">
      <c r="C443" s="1"/>
      <c r="D443" s="1"/>
      <c r="E443" s="1"/>
    </row>
    <row r="444" spans="3:13" x14ac:dyDescent="0.25">
      <c r="C444" s="1"/>
      <c r="D444" s="1"/>
      <c r="E444" s="1"/>
    </row>
    <row r="445" spans="3:13" x14ac:dyDescent="0.25">
      <c r="C445" s="1"/>
      <c r="D445" s="1"/>
      <c r="E445" s="1"/>
      <c r="M445" s="2"/>
    </row>
    <row r="446" spans="3:13" x14ac:dyDescent="0.25">
      <c r="C446" s="1"/>
      <c r="D446" s="1"/>
      <c r="E446" s="1"/>
      <c r="M446" s="2"/>
    </row>
    <row r="447" spans="3:13" x14ac:dyDescent="0.25">
      <c r="C447" s="1"/>
      <c r="D447" s="1"/>
      <c r="E447" s="1"/>
      <c r="M447" s="2"/>
    </row>
    <row r="448" spans="3:13" x14ac:dyDescent="0.25">
      <c r="C448" s="1"/>
      <c r="D448" s="1"/>
      <c r="E448" s="1"/>
    </row>
    <row r="449" spans="3:13" x14ac:dyDescent="0.25">
      <c r="C449" s="1"/>
      <c r="D449" s="1"/>
      <c r="E449" s="1"/>
    </row>
    <row r="450" spans="3:13" x14ac:dyDescent="0.25">
      <c r="C450" s="1"/>
      <c r="D450" s="1"/>
      <c r="E450" s="1"/>
    </row>
    <row r="451" spans="3:13" x14ac:dyDescent="0.25">
      <c r="C451" s="1"/>
      <c r="D451" s="1"/>
      <c r="E451" s="1"/>
    </row>
    <row r="452" spans="3:13" x14ac:dyDescent="0.25">
      <c r="C452" s="1"/>
      <c r="D452" s="1"/>
      <c r="E452" s="1"/>
      <c r="M452" s="2"/>
    </row>
    <row r="453" spans="3:13" x14ac:dyDescent="0.25">
      <c r="C453" s="1"/>
      <c r="D453" s="1"/>
      <c r="E453" s="1"/>
    </row>
    <row r="454" spans="3:13" x14ac:dyDescent="0.25">
      <c r="C454" s="1"/>
      <c r="D454" s="1"/>
      <c r="E454" s="1"/>
    </row>
    <row r="455" spans="3:13" x14ac:dyDescent="0.25">
      <c r="C455" s="1"/>
      <c r="D455" s="1"/>
      <c r="E455" s="1"/>
      <c r="M455" s="2"/>
    </row>
    <row r="456" spans="3:13" x14ac:dyDescent="0.25">
      <c r="C456" s="1"/>
      <c r="D456" s="1"/>
      <c r="E456" s="1"/>
    </row>
    <row r="457" spans="3:13" x14ac:dyDescent="0.25">
      <c r="C457" s="1"/>
      <c r="D457" s="1"/>
      <c r="E457" s="1"/>
    </row>
    <row r="458" spans="3:13" x14ac:dyDescent="0.25">
      <c r="C458" s="1"/>
      <c r="D458" s="1"/>
      <c r="E458" s="1"/>
      <c r="M458" s="2"/>
    </row>
    <row r="459" spans="3:13" x14ac:dyDescent="0.25">
      <c r="C459" s="1"/>
      <c r="D459" s="1"/>
      <c r="E459" s="1"/>
      <c r="M459" s="2"/>
    </row>
    <row r="460" spans="3:13" x14ac:dyDescent="0.25">
      <c r="C460" s="1"/>
      <c r="D460" s="1"/>
      <c r="E460" s="1"/>
    </row>
    <row r="461" spans="3:13" x14ac:dyDescent="0.25">
      <c r="C461" s="1"/>
      <c r="D461" s="1"/>
      <c r="E461" s="1"/>
    </row>
    <row r="462" spans="3:13" x14ac:dyDescent="0.25">
      <c r="C462" s="1"/>
      <c r="D462" s="1"/>
      <c r="E462" s="1"/>
    </row>
    <row r="463" spans="3:13" x14ac:dyDescent="0.25">
      <c r="C463" s="1"/>
      <c r="D463" s="1"/>
      <c r="E463" s="1"/>
    </row>
    <row r="464" spans="3:13" x14ac:dyDescent="0.25">
      <c r="C464" s="1"/>
      <c r="D464" s="1"/>
      <c r="E464" s="1"/>
    </row>
    <row r="465" spans="3:13" x14ac:dyDescent="0.25">
      <c r="C465" s="1"/>
      <c r="D465" s="1"/>
      <c r="E465" s="1"/>
    </row>
    <row r="466" spans="3:13" x14ac:dyDescent="0.25">
      <c r="C466" s="1"/>
      <c r="D466" s="1"/>
      <c r="E466" s="1"/>
    </row>
    <row r="467" spans="3:13" x14ac:dyDescent="0.25">
      <c r="C467" s="1"/>
      <c r="D467" s="1"/>
      <c r="E467" s="1"/>
    </row>
    <row r="468" spans="3:13" x14ac:dyDescent="0.25">
      <c r="C468" s="1"/>
      <c r="D468" s="1"/>
      <c r="E468" s="1"/>
      <c r="M468" s="2"/>
    </row>
    <row r="469" spans="3:13" x14ac:dyDescent="0.25">
      <c r="C469" s="1"/>
      <c r="D469" s="1"/>
      <c r="E469" s="1"/>
      <c r="M469" s="2"/>
    </row>
    <row r="470" spans="3:13" x14ac:dyDescent="0.25">
      <c r="C470" s="1"/>
      <c r="D470" s="1"/>
      <c r="E470" s="1"/>
    </row>
    <row r="471" spans="3:13" x14ac:dyDescent="0.25">
      <c r="C471" s="1"/>
      <c r="D471" s="1"/>
      <c r="E471" s="1"/>
    </row>
    <row r="472" spans="3:13" x14ac:dyDescent="0.25">
      <c r="C472" s="1"/>
      <c r="D472" s="1"/>
      <c r="E472" s="1"/>
    </row>
    <row r="473" spans="3:13" x14ac:dyDescent="0.25">
      <c r="C473" s="1"/>
      <c r="D473" s="1"/>
      <c r="E473" s="1"/>
    </row>
    <row r="474" spans="3:13" x14ac:dyDescent="0.25">
      <c r="C474" s="1"/>
      <c r="D474" s="1"/>
      <c r="E474" s="1"/>
    </row>
    <row r="475" spans="3:13" x14ac:dyDescent="0.25">
      <c r="C475" s="1"/>
      <c r="D475" s="1"/>
      <c r="E475" s="1"/>
      <c r="M475" s="2"/>
    </row>
    <row r="476" spans="3:13" x14ac:dyDescent="0.25">
      <c r="C476" s="1"/>
      <c r="D476" s="1"/>
      <c r="E476" s="1"/>
    </row>
    <row r="477" spans="3:13" x14ac:dyDescent="0.25">
      <c r="C477" s="1"/>
      <c r="D477" s="1"/>
      <c r="E477" s="1"/>
      <c r="M477" s="2"/>
    </row>
    <row r="478" spans="3:13" x14ac:dyDescent="0.25">
      <c r="C478" s="1"/>
      <c r="D478" s="1"/>
      <c r="E478" s="1"/>
      <c r="M478" s="2"/>
    </row>
    <row r="479" spans="3:13" x14ac:dyDescent="0.25">
      <c r="C479" s="1"/>
      <c r="D479" s="1"/>
      <c r="E479" s="1"/>
      <c r="M479" s="2"/>
    </row>
    <row r="480" spans="3:13" x14ac:dyDescent="0.25">
      <c r="C480" s="1"/>
      <c r="D480" s="1"/>
      <c r="E480" s="1"/>
      <c r="M480" s="2"/>
    </row>
    <row r="481" spans="3:13" x14ac:dyDescent="0.25">
      <c r="C481" s="1"/>
      <c r="D481" s="1"/>
      <c r="E481" s="1"/>
    </row>
    <row r="482" spans="3:13" x14ac:dyDescent="0.25">
      <c r="C482" s="1"/>
      <c r="D482" s="1"/>
      <c r="E482" s="1"/>
    </row>
    <row r="483" spans="3:13" x14ac:dyDescent="0.25">
      <c r="C483" s="1"/>
      <c r="D483" s="1"/>
      <c r="E483" s="1"/>
      <c r="M483" s="2"/>
    </row>
    <row r="484" spans="3:13" x14ac:dyDescent="0.25">
      <c r="C484" s="1"/>
      <c r="D484" s="1"/>
      <c r="E484" s="1"/>
      <c r="M484" s="2"/>
    </row>
    <row r="485" spans="3:13" x14ac:dyDescent="0.25">
      <c r="C485" s="1"/>
      <c r="D485" s="1"/>
      <c r="E485" s="1"/>
    </row>
    <row r="486" spans="3:13" x14ac:dyDescent="0.25">
      <c r="C486" s="1"/>
      <c r="D486" s="1"/>
      <c r="E486" s="1"/>
    </row>
    <row r="487" spans="3:13" x14ac:dyDescent="0.25">
      <c r="C487" s="1"/>
      <c r="D487" s="1"/>
      <c r="E487" s="1"/>
    </row>
    <row r="488" spans="3:13" x14ac:dyDescent="0.25">
      <c r="C488" s="1"/>
      <c r="D488" s="1"/>
      <c r="E488" s="1"/>
      <c r="M488" s="2"/>
    </row>
    <row r="489" spans="3:13" x14ac:dyDescent="0.25">
      <c r="C489" s="1"/>
      <c r="D489" s="1"/>
      <c r="E489" s="1"/>
    </row>
    <row r="490" spans="3:13" x14ac:dyDescent="0.25">
      <c r="C490" s="1"/>
      <c r="D490" s="1"/>
      <c r="E490" s="1"/>
    </row>
    <row r="491" spans="3:13" x14ac:dyDescent="0.25">
      <c r="C491" s="1"/>
      <c r="D491" s="1"/>
      <c r="E491" s="1"/>
    </row>
    <row r="492" spans="3:13" x14ac:dyDescent="0.25">
      <c r="C492" s="1"/>
      <c r="D492" s="1"/>
      <c r="E492" s="1"/>
    </row>
    <row r="493" spans="3:13" x14ac:dyDescent="0.25">
      <c r="C493" s="1"/>
      <c r="D493" s="1"/>
      <c r="E493" s="1"/>
      <c r="M493" s="2"/>
    </row>
    <row r="494" spans="3:13" x14ac:dyDescent="0.25">
      <c r="C494" s="1"/>
      <c r="D494" s="1"/>
      <c r="E494" s="1"/>
      <c r="M494" s="2"/>
    </row>
    <row r="495" spans="3:13" x14ac:dyDescent="0.25">
      <c r="C495" s="1"/>
      <c r="D495" s="1"/>
      <c r="E495" s="1"/>
    </row>
    <row r="496" spans="3:13" x14ac:dyDescent="0.25">
      <c r="C496" s="1"/>
      <c r="D496" s="1"/>
      <c r="E496" s="1"/>
    </row>
    <row r="497" spans="3:13" x14ac:dyDescent="0.25">
      <c r="C497" s="1"/>
      <c r="D497" s="1"/>
      <c r="E497" s="1"/>
      <c r="M497" s="2"/>
    </row>
    <row r="498" spans="3:13" x14ac:dyDescent="0.25">
      <c r="C498" s="1"/>
      <c r="D498" s="1"/>
      <c r="E498" s="1"/>
    </row>
    <row r="499" spans="3:13" x14ac:dyDescent="0.25">
      <c r="C499" s="1"/>
      <c r="D499" s="1"/>
      <c r="E499" s="1"/>
      <c r="M499" s="2"/>
    </row>
    <row r="500" spans="3:13" x14ac:dyDescent="0.25">
      <c r="C500" s="1"/>
      <c r="D500" s="1"/>
      <c r="E500" s="1"/>
    </row>
    <row r="501" spans="3:13" x14ac:dyDescent="0.25">
      <c r="C501" s="1"/>
      <c r="D501" s="1"/>
      <c r="E501" s="1"/>
    </row>
    <row r="502" spans="3:13" x14ac:dyDescent="0.25">
      <c r="C502" s="1"/>
      <c r="D502" s="1"/>
      <c r="E502" s="1"/>
    </row>
    <row r="503" spans="3:13" x14ac:dyDescent="0.25">
      <c r="C503" s="1"/>
      <c r="D503" s="1"/>
      <c r="E503" s="1"/>
      <c r="M503" s="2"/>
    </row>
    <row r="504" spans="3:13" x14ac:dyDescent="0.25">
      <c r="C504" s="1"/>
      <c r="D504" s="1"/>
      <c r="E504" s="1"/>
      <c r="M504" s="2"/>
    </row>
    <row r="505" spans="3:13" x14ac:dyDescent="0.25">
      <c r="C505" s="1"/>
      <c r="D505" s="1"/>
      <c r="E505" s="1"/>
      <c r="M505" s="2"/>
    </row>
    <row r="506" spans="3:13" x14ac:dyDescent="0.25">
      <c r="C506" s="1"/>
      <c r="D506" s="1"/>
      <c r="E506" s="1"/>
    </row>
    <row r="507" spans="3:13" x14ac:dyDescent="0.25">
      <c r="C507" s="1"/>
      <c r="D507" s="1"/>
      <c r="E507" s="1"/>
    </row>
    <row r="508" spans="3:13" x14ac:dyDescent="0.25">
      <c r="C508" s="1"/>
      <c r="D508" s="1"/>
      <c r="E508" s="1"/>
    </row>
    <row r="509" spans="3:13" x14ac:dyDescent="0.25">
      <c r="C509" s="1"/>
      <c r="D509" s="1"/>
      <c r="E509" s="1"/>
    </row>
    <row r="510" spans="3:13" x14ac:dyDescent="0.25">
      <c r="C510" s="1"/>
      <c r="D510" s="1"/>
      <c r="E510" s="1"/>
      <c r="M510" s="2"/>
    </row>
    <row r="511" spans="3:13" x14ac:dyDescent="0.25">
      <c r="C511" s="1"/>
      <c r="D511" s="1"/>
      <c r="E511" s="1"/>
    </row>
    <row r="512" spans="3:13" x14ac:dyDescent="0.25">
      <c r="C512" s="1"/>
      <c r="D512" s="1"/>
      <c r="E512" s="1"/>
    </row>
    <row r="513" spans="3:13" x14ac:dyDescent="0.25">
      <c r="C513" s="1"/>
      <c r="D513" s="1"/>
      <c r="E513" s="1"/>
      <c r="M513" s="2"/>
    </row>
    <row r="514" spans="3:13" x14ac:dyDescent="0.25">
      <c r="C514" s="1"/>
      <c r="D514" s="1"/>
      <c r="E514" s="1"/>
    </row>
    <row r="515" spans="3:13" x14ac:dyDescent="0.25">
      <c r="C515" s="1"/>
      <c r="D515" s="1"/>
      <c r="E515" s="1"/>
    </row>
    <row r="516" spans="3:13" x14ac:dyDescent="0.25">
      <c r="C516" s="1"/>
      <c r="D516" s="1"/>
      <c r="E516" s="1"/>
    </row>
    <row r="517" spans="3:13" x14ac:dyDescent="0.25">
      <c r="C517" s="1"/>
      <c r="D517" s="1"/>
      <c r="E517" s="1"/>
    </row>
    <row r="518" spans="3:13" x14ac:dyDescent="0.25">
      <c r="C518" s="1"/>
      <c r="D518" s="1"/>
      <c r="E518" s="1"/>
      <c r="M518" s="2"/>
    </row>
    <row r="519" spans="3:13" x14ac:dyDescent="0.25">
      <c r="C519" s="1"/>
      <c r="D519" s="1"/>
      <c r="E519" s="1"/>
    </row>
    <row r="520" spans="3:13" x14ac:dyDescent="0.25">
      <c r="C520" s="1"/>
      <c r="D520" s="1"/>
      <c r="E520" s="1"/>
      <c r="M520" s="2"/>
    </row>
    <row r="521" spans="3:13" x14ac:dyDescent="0.25">
      <c r="C521" s="1"/>
      <c r="D521" s="1"/>
      <c r="E521" s="1"/>
    </row>
    <row r="522" spans="3:13" x14ac:dyDescent="0.25">
      <c r="C522" s="1"/>
      <c r="D522" s="1"/>
      <c r="E522" s="1"/>
    </row>
    <row r="523" spans="3:13" x14ac:dyDescent="0.25">
      <c r="C523" s="1"/>
      <c r="D523" s="1"/>
      <c r="E523" s="1"/>
    </row>
    <row r="524" spans="3:13" x14ac:dyDescent="0.25">
      <c r="C524" s="1"/>
      <c r="D524" s="1"/>
      <c r="E524" s="1"/>
    </row>
    <row r="525" spans="3:13" x14ac:dyDescent="0.25">
      <c r="C525" s="1"/>
      <c r="D525" s="1"/>
      <c r="E525" s="1"/>
    </row>
    <row r="526" spans="3:13" x14ac:dyDescent="0.25">
      <c r="C526" s="1"/>
      <c r="D526" s="1"/>
      <c r="E526" s="1"/>
    </row>
    <row r="527" spans="3:13" x14ac:dyDescent="0.25">
      <c r="C527" s="1"/>
      <c r="D527" s="1"/>
      <c r="E527" s="1"/>
      <c r="M527" s="2"/>
    </row>
    <row r="528" spans="3:13" x14ac:dyDescent="0.25">
      <c r="C528" s="1"/>
      <c r="D528" s="1"/>
      <c r="E528" s="1"/>
    </row>
    <row r="529" spans="3:13" x14ac:dyDescent="0.25">
      <c r="C529" s="1"/>
      <c r="D529" s="1"/>
      <c r="E529" s="1"/>
      <c r="M529" s="2"/>
    </row>
    <row r="530" spans="3:13" x14ac:dyDescent="0.25">
      <c r="C530" s="1"/>
      <c r="D530" s="1"/>
      <c r="E530" s="1"/>
    </row>
    <row r="531" spans="3:13" x14ac:dyDescent="0.25">
      <c r="C531" s="1"/>
      <c r="D531" s="1"/>
      <c r="E531" s="1"/>
      <c r="M531" s="2"/>
    </row>
    <row r="532" spans="3:13" x14ac:dyDescent="0.25">
      <c r="C532" s="1"/>
      <c r="D532" s="1"/>
      <c r="E532" s="1"/>
    </row>
    <row r="533" spans="3:13" x14ac:dyDescent="0.25">
      <c r="C533" s="1"/>
      <c r="D533" s="1"/>
      <c r="E533" s="1"/>
      <c r="M533" s="2"/>
    </row>
    <row r="534" spans="3:13" x14ac:dyDescent="0.25">
      <c r="C534" s="1"/>
      <c r="D534" s="1"/>
      <c r="E534" s="1"/>
    </row>
    <row r="535" spans="3:13" x14ac:dyDescent="0.25">
      <c r="C535" s="1"/>
      <c r="D535" s="1"/>
      <c r="E535" s="1"/>
      <c r="M535" s="2"/>
    </row>
    <row r="536" spans="3:13" x14ac:dyDescent="0.25">
      <c r="C536" s="1"/>
      <c r="D536" s="1"/>
      <c r="E536" s="1"/>
      <c r="M536" s="2"/>
    </row>
    <row r="537" spans="3:13" x14ac:dyDescent="0.25">
      <c r="C537" s="1"/>
      <c r="D537" s="1"/>
      <c r="E537" s="1"/>
    </row>
    <row r="538" spans="3:13" x14ac:dyDescent="0.25">
      <c r="C538" s="1"/>
      <c r="D538" s="1"/>
      <c r="E538" s="1"/>
    </row>
    <row r="539" spans="3:13" x14ac:dyDescent="0.25">
      <c r="C539" s="1"/>
      <c r="D539" s="1"/>
      <c r="E539" s="1"/>
    </row>
    <row r="540" spans="3:13" x14ac:dyDescent="0.25">
      <c r="C540" s="1"/>
      <c r="D540" s="1"/>
      <c r="E540" s="1"/>
      <c r="M540" s="2"/>
    </row>
    <row r="541" spans="3:13" x14ac:dyDescent="0.25">
      <c r="C541" s="1"/>
      <c r="D541" s="1"/>
      <c r="E541" s="1"/>
    </row>
    <row r="542" spans="3:13" x14ac:dyDescent="0.25">
      <c r="C542" s="1"/>
      <c r="D542" s="1"/>
      <c r="E542" s="1"/>
    </row>
    <row r="543" spans="3:13" x14ac:dyDescent="0.25">
      <c r="C543" s="1"/>
      <c r="D543" s="1"/>
      <c r="E543" s="1"/>
    </row>
    <row r="544" spans="3:13" x14ac:dyDescent="0.25">
      <c r="C544" s="1"/>
      <c r="D544" s="1"/>
      <c r="E544" s="1"/>
    </row>
    <row r="545" spans="3:13" x14ac:dyDescent="0.25">
      <c r="C545" s="1"/>
      <c r="D545" s="1"/>
      <c r="E545" s="1"/>
    </row>
    <row r="546" spans="3:13" x14ac:dyDescent="0.25">
      <c r="C546" s="1"/>
      <c r="D546" s="1"/>
      <c r="E546" s="1"/>
    </row>
    <row r="547" spans="3:13" x14ac:dyDescent="0.25">
      <c r="C547" s="1"/>
      <c r="D547" s="1"/>
      <c r="E547" s="1"/>
      <c r="M547" s="2"/>
    </row>
    <row r="548" spans="3:13" x14ac:dyDescent="0.25">
      <c r="C548" s="1"/>
      <c r="D548" s="1"/>
      <c r="E548" s="1"/>
      <c r="M548" s="2"/>
    </row>
    <row r="549" spans="3:13" x14ac:dyDescent="0.25">
      <c r="C549" s="1"/>
      <c r="D549" s="1"/>
      <c r="E549" s="1"/>
    </row>
    <row r="550" spans="3:13" x14ac:dyDescent="0.25">
      <c r="C550" s="1"/>
      <c r="D550" s="1"/>
      <c r="E550" s="1"/>
      <c r="M550" s="2"/>
    </row>
    <row r="551" spans="3:13" x14ac:dyDescent="0.25">
      <c r="C551" s="1"/>
      <c r="D551" s="1"/>
      <c r="E551" s="1"/>
      <c r="M551" s="2"/>
    </row>
    <row r="552" spans="3:13" x14ac:dyDescent="0.25">
      <c r="C552" s="1"/>
      <c r="D552" s="1"/>
      <c r="E552" s="1"/>
    </row>
    <row r="553" spans="3:13" x14ac:dyDescent="0.25">
      <c r="C553" s="1"/>
      <c r="D553" s="1"/>
      <c r="E553" s="1"/>
    </row>
    <row r="554" spans="3:13" x14ac:dyDescent="0.25">
      <c r="C554" s="1"/>
      <c r="D554" s="1"/>
      <c r="E554" s="1"/>
    </row>
    <row r="555" spans="3:13" x14ac:dyDescent="0.25">
      <c r="C555" s="1"/>
      <c r="D555" s="1"/>
      <c r="E555" s="1"/>
    </row>
    <row r="556" spans="3:13" x14ac:dyDescent="0.25">
      <c r="C556" s="1"/>
      <c r="D556" s="1"/>
      <c r="E556" s="1"/>
      <c r="M556" s="2"/>
    </row>
    <row r="557" spans="3:13" x14ac:dyDescent="0.25">
      <c r="C557" s="1"/>
      <c r="D557" s="1"/>
      <c r="E557" s="1"/>
    </row>
    <row r="558" spans="3:13" x14ac:dyDescent="0.25">
      <c r="C558" s="1"/>
      <c r="D558" s="1"/>
      <c r="E558" s="1"/>
    </row>
    <row r="559" spans="3:13" x14ac:dyDescent="0.25">
      <c r="C559" s="1"/>
      <c r="D559" s="1"/>
      <c r="E559" s="1"/>
    </row>
    <row r="560" spans="3:13" x14ac:dyDescent="0.25">
      <c r="C560" s="1"/>
      <c r="D560" s="1"/>
      <c r="E560" s="1"/>
      <c r="M560" s="2"/>
    </row>
    <row r="561" spans="3:13" x14ac:dyDescent="0.25">
      <c r="C561" s="1"/>
      <c r="D561" s="1"/>
      <c r="E561" s="1"/>
    </row>
    <row r="562" spans="3:13" x14ac:dyDescent="0.25">
      <c r="C562" s="1"/>
      <c r="D562" s="1"/>
      <c r="E562" s="1"/>
      <c r="M562" s="2"/>
    </row>
    <row r="563" spans="3:13" x14ac:dyDescent="0.25">
      <c r="C563" s="1"/>
      <c r="D563" s="1"/>
      <c r="E563" s="1"/>
    </row>
    <row r="564" spans="3:13" x14ac:dyDescent="0.25">
      <c r="C564" s="1"/>
      <c r="D564" s="1"/>
      <c r="E564" s="1"/>
      <c r="M564" s="2"/>
    </row>
    <row r="565" spans="3:13" x14ac:dyDescent="0.25">
      <c r="C565" s="1"/>
      <c r="D565" s="1"/>
      <c r="E565" s="1"/>
    </row>
    <row r="566" spans="3:13" x14ac:dyDescent="0.25">
      <c r="C566" s="1"/>
      <c r="D566" s="1"/>
      <c r="E566" s="1"/>
    </row>
    <row r="567" spans="3:13" x14ac:dyDescent="0.25">
      <c r="C567" s="1"/>
      <c r="D567" s="1"/>
      <c r="E567" s="1"/>
    </row>
    <row r="568" spans="3:13" x14ac:dyDescent="0.25">
      <c r="C568" s="1"/>
      <c r="D568" s="1"/>
      <c r="E568" s="1"/>
    </row>
    <row r="569" spans="3:13" x14ac:dyDescent="0.25">
      <c r="C569" s="1"/>
      <c r="D569" s="1"/>
      <c r="E569" s="1"/>
    </row>
    <row r="570" spans="3:13" x14ac:dyDescent="0.25">
      <c r="C570" s="1"/>
      <c r="D570" s="1"/>
      <c r="E570" s="1"/>
      <c r="M570" s="2"/>
    </row>
    <row r="571" spans="3:13" x14ac:dyDescent="0.25">
      <c r="C571" s="1"/>
      <c r="D571" s="1"/>
      <c r="E571" s="1"/>
    </row>
    <row r="572" spans="3:13" x14ac:dyDescent="0.25">
      <c r="C572" s="1"/>
      <c r="D572" s="1"/>
      <c r="E572" s="1"/>
    </row>
    <row r="573" spans="3:13" x14ac:dyDescent="0.25">
      <c r="C573" s="1"/>
      <c r="D573" s="1"/>
      <c r="E573" s="1"/>
    </row>
    <row r="574" spans="3:13" x14ac:dyDescent="0.25">
      <c r="C574" s="1"/>
      <c r="D574" s="1"/>
      <c r="E574" s="1"/>
      <c r="M574" s="2"/>
    </row>
    <row r="575" spans="3:13" x14ac:dyDescent="0.25">
      <c r="C575" s="1"/>
      <c r="D575" s="1"/>
      <c r="E575" s="1"/>
    </row>
    <row r="576" spans="3:13" x14ac:dyDescent="0.25">
      <c r="C576" s="1"/>
      <c r="D576" s="1"/>
      <c r="E576" s="1"/>
    </row>
    <row r="577" spans="3:13" x14ac:dyDescent="0.25">
      <c r="C577" s="1"/>
      <c r="D577" s="1"/>
      <c r="E577" s="1"/>
    </row>
    <row r="578" spans="3:13" x14ac:dyDescent="0.25">
      <c r="C578" s="1"/>
      <c r="D578" s="1"/>
      <c r="E578" s="1"/>
    </row>
    <row r="579" spans="3:13" x14ac:dyDescent="0.25">
      <c r="C579" s="1"/>
      <c r="D579" s="1"/>
      <c r="E579" s="1"/>
    </row>
    <row r="580" spans="3:13" x14ac:dyDescent="0.25">
      <c r="C580" s="1"/>
      <c r="D580" s="1"/>
      <c r="E580" s="1"/>
      <c r="M580" s="2"/>
    </row>
    <row r="581" spans="3:13" x14ac:dyDescent="0.25">
      <c r="C581" s="1"/>
      <c r="D581" s="1"/>
      <c r="E581" s="1"/>
      <c r="M581" s="2"/>
    </row>
    <row r="582" spans="3:13" x14ac:dyDescent="0.25">
      <c r="C582" s="1"/>
      <c r="D582" s="1"/>
      <c r="E582" s="1"/>
    </row>
    <row r="583" spans="3:13" x14ac:dyDescent="0.25">
      <c r="C583" s="1"/>
      <c r="D583" s="1"/>
      <c r="E583" s="1"/>
    </row>
    <row r="584" spans="3:13" x14ac:dyDescent="0.25">
      <c r="C584" s="1"/>
      <c r="D584" s="1"/>
      <c r="E584" s="1"/>
    </row>
    <row r="585" spans="3:13" x14ac:dyDescent="0.25">
      <c r="C585" s="1"/>
      <c r="D585" s="1"/>
      <c r="E585" s="1"/>
    </row>
    <row r="586" spans="3:13" x14ac:dyDescent="0.25">
      <c r="C586" s="1"/>
      <c r="D586" s="1"/>
      <c r="E586" s="1"/>
      <c r="M586" s="2"/>
    </row>
    <row r="587" spans="3:13" x14ac:dyDescent="0.25">
      <c r="C587" s="1"/>
      <c r="D587" s="1"/>
      <c r="E587" s="1"/>
      <c r="M587" s="2"/>
    </row>
    <row r="588" spans="3:13" x14ac:dyDescent="0.25">
      <c r="C588" s="1"/>
      <c r="D588" s="1"/>
      <c r="E588" s="1"/>
      <c r="M588" s="2"/>
    </row>
    <row r="589" spans="3:13" x14ac:dyDescent="0.25">
      <c r="C589" s="1"/>
      <c r="D589" s="1"/>
      <c r="E589" s="1"/>
    </row>
    <row r="590" spans="3:13" x14ac:dyDescent="0.25">
      <c r="C590" s="1"/>
      <c r="D590" s="1"/>
      <c r="E590" s="1"/>
      <c r="M590" s="2"/>
    </row>
    <row r="591" spans="3:13" x14ac:dyDescent="0.25">
      <c r="C591" s="1"/>
      <c r="D591" s="1"/>
      <c r="E591" s="1"/>
    </row>
    <row r="592" spans="3:13" x14ac:dyDescent="0.25">
      <c r="C592" s="1"/>
      <c r="D592" s="1"/>
      <c r="E592" s="1"/>
    </row>
    <row r="593" spans="3:13" x14ac:dyDescent="0.25">
      <c r="C593" s="1"/>
      <c r="D593" s="1"/>
      <c r="E593" s="1"/>
    </row>
    <row r="594" spans="3:13" x14ac:dyDescent="0.25">
      <c r="C594" s="1"/>
      <c r="D594" s="1"/>
      <c r="E594" s="1"/>
      <c r="M594" s="2"/>
    </row>
    <row r="595" spans="3:13" x14ac:dyDescent="0.25">
      <c r="C595" s="1"/>
      <c r="D595" s="1"/>
      <c r="E595" s="1"/>
    </row>
    <row r="596" spans="3:13" x14ac:dyDescent="0.25">
      <c r="C596" s="1"/>
      <c r="D596" s="1"/>
      <c r="E596" s="1"/>
      <c r="M596" s="2"/>
    </row>
    <row r="597" spans="3:13" x14ac:dyDescent="0.25">
      <c r="C597" s="1"/>
      <c r="D597" s="1"/>
      <c r="E597" s="1"/>
    </row>
    <row r="598" spans="3:13" x14ac:dyDescent="0.25">
      <c r="C598" s="1"/>
      <c r="D598" s="1"/>
      <c r="E598" s="1"/>
      <c r="M598" s="2"/>
    </row>
    <row r="599" spans="3:13" x14ac:dyDescent="0.25">
      <c r="C599" s="1"/>
      <c r="D599" s="1"/>
      <c r="E599" s="1"/>
      <c r="M599" s="2"/>
    </row>
    <row r="600" spans="3:13" x14ac:dyDescent="0.25">
      <c r="C600" s="1"/>
      <c r="D600" s="1"/>
      <c r="E600" s="1"/>
    </row>
    <row r="601" spans="3:13" x14ac:dyDescent="0.25">
      <c r="C601" s="1"/>
      <c r="D601" s="1"/>
      <c r="E601" s="1"/>
    </row>
    <row r="602" spans="3:13" x14ac:dyDescent="0.25">
      <c r="C602" s="1"/>
      <c r="D602" s="1"/>
      <c r="E602" s="1"/>
      <c r="M602" s="2"/>
    </row>
    <row r="603" spans="3:13" x14ac:dyDescent="0.25">
      <c r="C603" s="1"/>
      <c r="D603" s="1"/>
      <c r="E603" s="1"/>
    </row>
    <row r="604" spans="3:13" x14ac:dyDescent="0.25">
      <c r="C604" s="1"/>
      <c r="D604" s="1"/>
      <c r="E604" s="1"/>
    </row>
    <row r="605" spans="3:13" x14ac:dyDescent="0.25">
      <c r="C605" s="1"/>
      <c r="D605" s="1"/>
      <c r="E605" s="1"/>
    </row>
    <row r="606" spans="3:13" x14ac:dyDescent="0.25">
      <c r="C606" s="1"/>
      <c r="D606" s="1"/>
      <c r="E606" s="1"/>
      <c r="M606" s="2"/>
    </row>
    <row r="607" spans="3:13" x14ac:dyDescent="0.25">
      <c r="C607" s="1"/>
      <c r="D607" s="1"/>
      <c r="E607" s="1"/>
      <c r="M607" s="2"/>
    </row>
    <row r="608" spans="3:13" x14ac:dyDescent="0.25">
      <c r="C608" s="1"/>
      <c r="D608" s="1"/>
      <c r="E608" s="1"/>
    </row>
    <row r="609" spans="3:13" x14ac:dyDescent="0.25">
      <c r="C609" s="1"/>
      <c r="D609" s="1"/>
      <c r="E609" s="1"/>
      <c r="M609" s="2"/>
    </row>
    <row r="610" spans="3:13" x14ac:dyDescent="0.25">
      <c r="C610" s="1"/>
      <c r="D610" s="1"/>
      <c r="E610" s="1"/>
    </row>
    <row r="611" spans="3:13" x14ac:dyDescent="0.25">
      <c r="C611" s="1"/>
      <c r="D611" s="1"/>
      <c r="E611" s="1"/>
    </row>
    <row r="612" spans="3:13" x14ac:dyDescent="0.25">
      <c r="C612" s="1"/>
      <c r="D612" s="1"/>
      <c r="E612" s="1"/>
    </row>
    <row r="613" spans="3:13" x14ac:dyDescent="0.25">
      <c r="C613" s="1"/>
      <c r="D613" s="1"/>
      <c r="E613" s="1"/>
      <c r="M613" s="2"/>
    </row>
    <row r="614" spans="3:13" x14ac:dyDescent="0.25">
      <c r="C614" s="1"/>
      <c r="D614" s="1"/>
      <c r="E614" s="1"/>
    </row>
    <row r="615" spans="3:13" x14ac:dyDescent="0.25">
      <c r="C615" s="1"/>
      <c r="D615" s="1"/>
      <c r="E615" s="1"/>
      <c r="M615" s="2"/>
    </row>
    <row r="616" spans="3:13" x14ac:dyDescent="0.25">
      <c r="C616" s="1"/>
      <c r="D616" s="1"/>
      <c r="E616" s="1"/>
      <c r="M616" s="2"/>
    </row>
    <row r="617" spans="3:13" x14ac:dyDescent="0.25">
      <c r="C617" s="1"/>
      <c r="D617" s="1"/>
      <c r="E617" s="1"/>
      <c r="M617" s="2"/>
    </row>
    <row r="618" spans="3:13" x14ac:dyDescent="0.25">
      <c r="C618" s="1"/>
      <c r="D618" s="1"/>
      <c r="E618" s="1"/>
    </row>
    <row r="619" spans="3:13" x14ac:dyDescent="0.25">
      <c r="C619" s="1"/>
      <c r="D619" s="1"/>
      <c r="E619" s="1"/>
      <c r="M619" s="2"/>
    </row>
    <row r="620" spans="3:13" x14ac:dyDescent="0.25">
      <c r="C620" s="1"/>
      <c r="D620" s="1"/>
      <c r="E620" s="1"/>
    </row>
    <row r="621" spans="3:13" x14ac:dyDescent="0.25">
      <c r="C621" s="1"/>
      <c r="D621" s="1"/>
      <c r="E621" s="1"/>
    </row>
    <row r="622" spans="3:13" x14ac:dyDescent="0.25">
      <c r="C622" s="1"/>
      <c r="D622" s="1"/>
      <c r="E622" s="1"/>
      <c r="M622" s="2"/>
    </row>
    <row r="623" spans="3:13" x14ac:dyDescent="0.25">
      <c r="C623" s="1"/>
      <c r="D623" s="1"/>
      <c r="E623" s="1"/>
    </row>
    <row r="624" spans="3:13" x14ac:dyDescent="0.25">
      <c r="C624" s="1"/>
      <c r="D624" s="1"/>
      <c r="E624" s="1"/>
      <c r="M624" s="2"/>
    </row>
    <row r="625" spans="3:13" x14ac:dyDescent="0.25">
      <c r="C625" s="1"/>
      <c r="D625" s="1"/>
      <c r="E625" s="1"/>
    </row>
    <row r="626" spans="3:13" x14ac:dyDescent="0.25">
      <c r="C626" s="1"/>
      <c r="D626" s="1"/>
      <c r="E626" s="1"/>
    </row>
    <row r="627" spans="3:13" x14ac:dyDescent="0.25">
      <c r="C627" s="1"/>
      <c r="D627" s="1"/>
      <c r="E627" s="1"/>
      <c r="M627" s="2"/>
    </row>
    <row r="628" spans="3:13" x14ac:dyDescent="0.25">
      <c r="C628" s="1"/>
      <c r="D628" s="1"/>
      <c r="E628" s="1"/>
      <c r="M628" s="2"/>
    </row>
    <row r="629" spans="3:13" x14ac:dyDescent="0.25">
      <c r="C629" s="1"/>
      <c r="D629" s="1"/>
      <c r="E629" s="1"/>
      <c r="M629" s="2"/>
    </row>
    <row r="630" spans="3:13" x14ac:dyDescent="0.25">
      <c r="C630" s="1"/>
      <c r="D630" s="1"/>
      <c r="E630" s="1"/>
      <c r="M630" s="2"/>
    </row>
    <row r="631" spans="3:13" x14ac:dyDescent="0.25">
      <c r="C631" s="1"/>
      <c r="D631" s="1"/>
      <c r="E631" s="1"/>
    </row>
    <row r="632" spans="3:13" x14ac:dyDescent="0.25">
      <c r="C632" s="1"/>
      <c r="D632" s="1"/>
      <c r="E632" s="1"/>
    </row>
    <row r="633" spans="3:13" x14ac:dyDescent="0.25">
      <c r="C633" s="1"/>
      <c r="D633" s="1"/>
      <c r="E633" s="1"/>
      <c r="M633" s="2"/>
    </row>
    <row r="634" spans="3:13" x14ac:dyDescent="0.25">
      <c r="C634" s="1"/>
      <c r="D634" s="1"/>
      <c r="E634" s="1"/>
    </row>
    <row r="635" spans="3:13" x14ac:dyDescent="0.25">
      <c r="C635" s="1"/>
      <c r="D635" s="1"/>
      <c r="E635" s="1"/>
    </row>
    <row r="636" spans="3:13" x14ac:dyDescent="0.25">
      <c r="C636" s="1"/>
      <c r="D636" s="1"/>
      <c r="E636" s="1"/>
    </row>
    <row r="637" spans="3:13" x14ac:dyDescent="0.25">
      <c r="C637" s="1"/>
      <c r="D637" s="1"/>
      <c r="E637" s="1"/>
      <c r="M637" s="2"/>
    </row>
    <row r="638" spans="3:13" x14ac:dyDescent="0.25">
      <c r="C638" s="1"/>
      <c r="D638" s="1"/>
      <c r="E638" s="1"/>
      <c r="M638" s="2"/>
    </row>
    <row r="639" spans="3:13" x14ac:dyDescent="0.25">
      <c r="C639" s="1"/>
      <c r="D639" s="1"/>
      <c r="E639" s="1"/>
      <c r="M639" s="2"/>
    </row>
    <row r="640" spans="3:13" x14ac:dyDescent="0.25">
      <c r="C640" s="1"/>
      <c r="D640" s="1"/>
      <c r="E640" s="1"/>
    </row>
    <row r="641" spans="3:13" x14ac:dyDescent="0.25">
      <c r="C641" s="1"/>
      <c r="D641" s="1"/>
      <c r="E641" s="1"/>
    </row>
    <row r="642" spans="3:13" x14ac:dyDescent="0.25">
      <c r="C642" s="1"/>
      <c r="D642" s="1"/>
      <c r="E642" s="1"/>
    </row>
    <row r="643" spans="3:13" x14ac:dyDescent="0.25">
      <c r="C643" s="1"/>
      <c r="D643" s="1"/>
      <c r="E643" s="1"/>
    </row>
    <row r="644" spans="3:13" x14ac:dyDescent="0.25">
      <c r="C644" s="1"/>
      <c r="D644" s="1"/>
      <c r="E644" s="1"/>
    </row>
    <row r="645" spans="3:13" x14ac:dyDescent="0.25">
      <c r="C645" s="1"/>
      <c r="D645" s="1"/>
      <c r="E645" s="1"/>
      <c r="M645" s="2"/>
    </row>
    <row r="646" spans="3:13" x14ac:dyDescent="0.25">
      <c r="C646" s="1"/>
      <c r="D646" s="1"/>
      <c r="E646" s="1"/>
    </row>
    <row r="647" spans="3:13" x14ac:dyDescent="0.25">
      <c r="C647" s="1"/>
      <c r="D647" s="1"/>
      <c r="E647" s="1"/>
      <c r="M647" s="2"/>
    </row>
    <row r="648" spans="3:13" x14ac:dyDescent="0.25">
      <c r="C648" s="1"/>
      <c r="D648" s="1"/>
      <c r="E648" s="1"/>
    </row>
    <row r="649" spans="3:13" x14ac:dyDescent="0.25">
      <c r="C649" s="1"/>
      <c r="D649" s="1"/>
      <c r="E649" s="1"/>
    </row>
    <row r="650" spans="3:13" x14ac:dyDescent="0.25">
      <c r="C650" s="1"/>
      <c r="D650" s="1"/>
      <c r="E650" s="1"/>
    </row>
    <row r="651" spans="3:13" x14ac:dyDescent="0.25">
      <c r="C651" s="1"/>
      <c r="D651" s="1"/>
      <c r="E651" s="1"/>
    </row>
    <row r="652" spans="3:13" x14ac:dyDescent="0.25">
      <c r="C652" s="1"/>
      <c r="D652" s="1"/>
      <c r="E652" s="1"/>
    </row>
    <row r="653" spans="3:13" x14ac:dyDescent="0.25">
      <c r="C653" s="1"/>
      <c r="D653" s="1"/>
      <c r="E653" s="1"/>
    </row>
    <row r="654" spans="3:13" x14ac:dyDescent="0.25">
      <c r="C654" s="1"/>
      <c r="D654" s="1"/>
      <c r="E654" s="1"/>
      <c r="M654" s="2"/>
    </row>
    <row r="655" spans="3:13" x14ac:dyDescent="0.25">
      <c r="C655" s="1"/>
      <c r="D655" s="1"/>
      <c r="E655" s="1"/>
    </row>
    <row r="656" spans="3:13" x14ac:dyDescent="0.25">
      <c r="C656" s="1"/>
      <c r="D656" s="1"/>
      <c r="E656" s="1"/>
    </row>
    <row r="657" spans="3:13" x14ac:dyDescent="0.25">
      <c r="C657" s="1"/>
      <c r="D657" s="1"/>
      <c r="E657" s="1"/>
    </row>
    <row r="658" spans="3:13" x14ac:dyDescent="0.25">
      <c r="C658" s="1"/>
      <c r="D658" s="1"/>
      <c r="E658" s="1"/>
    </row>
    <row r="659" spans="3:13" x14ac:dyDescent="0.25">
      <c r="C659" s="1"/>
      <c r="D659" s="1"/>
      <c r="E659" s="1"/>
    </row>
    <row r="660" spans="3:13" x14ac:dyDescent="0.25">
      <c r="C660" s="1"/>
      <c r="D660" s="1"/>
      <c r="E660" s="1"/>
      <c r="M660" s="2"/>
    </row>
    <row r="661" spans="3:13" x14ac:dyDescent="0.25">
      <c r="C661" s="1"/>
      <c r="D661" s="1"/>
      <c r="E661" s="1"/>
    </row>
    <row r="662" spans="3:13" x14ac:dyDescent="0.25">
      <c r="C662" s="1"/>
      <c r="D662" s="1"/>
      <c r="E662" s="1"/>
      <c r="M662" s="2"/>
    </row>
    <row r="663" spans="3:13" x14ac:dyDescent="0.25">
      <c r="C663" s="1"/>
      <c r="D663" s="1"/>
      <c r="E663" s="1"/>
    </row>
    <row r="664" spans="3:13" x14ac:dyDescent="0.25">
      <c r="C664" s="1"/>
      <c r="D664" s="1"/>
      <c r="E664" s="1"/>
    </row>
    <row r="665" spans="3:13" x14ac:dyDescent="0.25">
      <c r="C665" s="1"/>
      <c r="D665" s="1"/>
      <c r="E665" s="1"/>
      <c r="M665" s="2"/>
    </row>
    <row r="666" spans="3:13" x14ac:dyDescent="0.25">
      <c r="C666" s="1"/>
      <c r="D666" s="1"/>
      <c r="E666" s="1"/>
    </row>
    <row r="667" spans="3:13" x14ac:dyDescent="0.25">
      <c r="C667" s="1"/>
      <c r="D667" s="1"/>
      <c r="E667" s="1"/>
      <c r="M667" s="2"/>
    </row>
    <row r="668" spans="3:13" x14ac:dyDescent="0.25">
      <c r="C668" s="1"/>
      <c r="D668" s="1"/>
      <c r="E668" s="1"/>
    </row>
    <row r="669" spans="3:13" x14ac:dyDescent="0.25">
      <c r="C669" s="1"/>
      <c r="D669" s="1"/>
      <c r="E669" s="1"/>
    </row>
    <row r="670" spans="3:13" x14ac:dyDescent="0.25">
      <c r="C670" s="1"/>
      <c r="D670" s="1"/>
      <c r="E670" s="1"/>
    </row>
    <row r="671" spans="3:13" x14ac:dyDescent="0.25">
      <c r="C671" s="1"/>
      <c r="D671" s="1"/>
      <c r="E671" s="1"/>
      <c r="M671" s="2"/>
    </row>
    <row r="672" spans="3:13" x14ac:dyDescent="0.25">
      <c r="C672" s="1"/>
      <c r="D672" s="1"/>
      <c r="E672" s="1"/>
      <c r="M672" s="2"/>
    </row>
    <row r="673" spans="3:13" x14ac:dyDescent="0.25">
      <c r="C673" s="1"/>
      <c r="D673" s="1"/>
      <c r="E673" s="1"/>
      <c r="M673" s="2"/>
    </row>
    <row r="674" spans="3:13" x14ac:dyDescent="0.25">
      <c r="C674" s="1"/>
      <c r="D674" s="1"/>
      <c r="E674" s="1"/>
    </row>
    <row r="675" spans="3:13" x14ac:dyDescent="0.25">
      <c r="C675" s="1"/>
      <c r="D675" s="1"/>
      <c r="E675" s="1"/>
    </row>
    <row r="676" spans="3:13" x14ac:dyDescent="0.25">
      <c r="C676" s="1"/>
      <c r="D676" s="1"/>
      <c r="E676" s="1"/>
      <c r="M676" s="2"/>
    </row>
    <row r="677" spans="3:13" x14ac:dyDescent="0.25">
      <c r="C677" s="1"/>
      <c r="D677" s="1"/>
      <c r="E677" s="1"/>
      <c r="M677" s="2"/>
    </row>
    <row r="678" spans="3:13" x14ac:dyDescent="0.25">
      <c r="C678" s="1"/>
      <c r="D678" s="1"/>
      <c r="E678" s="1"/>
      <c r="M678" s="2"/>
    </row>
    <row r="679" spans="3:13" x14ac:dyDescent="0.25">
      <c r="C679" s="1"/>
      <c r="D679" s="1"/>
      <c r="E679" s="1"/>
      <c r="M679" s="2"/>
    </row>
    <row r="680" spans="3:13" x14ac:dyDescent="0.25">
      <c r="C680" s="1"/>
      <c r="D680" s="1"/>
      <c r="E680" s="1"/>
    </row>
    <row r="681" spans="3:13" x14ac:dyDescent="0.25">
      <c r="C681" s="1"/>
      <c r="D681" s="1"/>
      <c r="E681" s="1"/>
    </row>
    <row r="682" spans="3:13" x14ac:dyDescent="0.25">
      <c r="C682" s="1"/>
      <c r="D682" s="1"/>
      <c r="E682" s="1"/>
    </row>
    <row r="683" spans="3:13" x14ac:dyDescent="0.25">
      <c r="C683" s="1"/>
      <c r="D683" s="1"/>
      <c r="E683" s="1"/>
    </row>
    <row r="684" spans="3:13" x14ac:dyDescent="0.25">
      <c r="C684" s="1"/>
      <c r="D684" s="1"/>
      <c r="E684" s="1"/>
      <c r="M684" s="2"/>
    </row>
    <row r="685" spans="3:13" x14ac:dyDescent="0.25">
      <c r="C685" s="1"/>
      <c r="D685" s="1"/>
      <c r="E685" s="1"/>
    </row>
    <row r="686" spans="3:13" x14ac:dyDescent="0.25">
      <c r="C686" s="1"/>
      <c r="D686" s="1"/>
      <c r="E686" s="1"/>
    </row>
    <row r="687" spans="3:13" x14ac:dyDescent="0.25">
      <c r="C687" s="1"/>
      <c r="D687" s="1"/>
      <c r="E687" s="1"/>
    </row>
    <row r="688" spans="3:13" x14ac:dyDescent="0.25">
      <c r="C688" s="1"/>
      <c r="D688" s="1"/>
      <c r="E688" s="1"/>
      <c r="M688" s="2"/>
    </row>
    <row r="689" spans="3:13" x14ac:dyDescent="0.25">
      <c r="C689" s="1"/>
      <c r="D689" s="1"/>
      <c r="E689" s="1"/>
      <c r="M689" s="2"/>
    </row>
    <row r="690" spans="3:13" x14ac:dyDescent="0.25">
      <c r="C690" s="1"/>
      <c r="D690" s="1"/>
      <c r="E690" s="1"/>
    </row>
    <row r="691" spans="3:13" x14ac:dyDescent="0.25">
      <c r="C691" s="1"/>
      <c r="D691" s="1"/>
      <c r="E691" s="1"/>
    </row>
    <row r="692" spans="3:13" x14ac:dyDescent="0.25">
      <c r="C692" s="1"/>
      <c r="D692" s="1"/>
      <c r="E692" s="1"/>
    </row>
    <row r="693" spans="3:13" x14ac:dyDescent="0.25">
      <c r="C693" s="1"/>
      <c r="D693" s="1"/>
      <c r="E693" s="1"/>
      <c r="M693" s="2"/>
    </row>
    <row r="694" spans="3:13" x14ac:dyDescent="0.25">
      <c r="C694" s="1"/>
      <c r="D694" s="1"/>
      <c r="E694" s="1"/>
      <c r="M694" s="2"/>
    </row>
    <row r="695" spans="3:13" x14ac:dyDescent="0.25">
      <c r="C695" s="1"/>
      <c r="D695" s="1"/>
      <c r="E695" s="1"/>
    </row>
    <row r="696" spans="3:13" x14ac:dyDescent="0.25">
      <c r="C696" s="1"/>
      <c r="D696" s="1"/>
      <c r="E696" s="1"/>
    </row>
    <row r="697" spans="3:13" x14ac:dyDescent="0.25">
      <c r="C697" s="1"/>
      <c r="D697" s="1"/>
      <c r="E697" s="1"/>
      <c r="M697" s="2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Branches Transfe Data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Jones</dc:creator>
  <cp:lastModifiedBy>Cristina Jones</cp:lastModifiedBy>
  <dcterms:created xsi:type="dcterms:W3CDTF">2026-09-03T12:50:35Z</dcterms:created>
  <dcterms:modified xsi:type="dcterms:W3CDTF">2026-09-03T17:30:03Z</dcterms:modified>
</cp:coreProperties>
</file>